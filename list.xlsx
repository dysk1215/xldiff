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Desktop\diff\"/>
    </mc:Choice>
  </mc:AlternateContent>
  <xr:revisionPtr revIDLastSave="0" documentId="13_ncr:1_{0494B01C-A48C-4C62-8E94-B233F52CCCD5}" xr6:coauthVersionLast="47" xr6:coauthVersionMax="47" xr10:uidLastSave="{00000000-0000-0000-0000-000000000000}"/>
  <bookViews>
    <workbookView xWindow="-120" yWindow="-120" windowWidth="38640" windowHeight="21120" xr2:uid="{4E420BF3-AB21-4911-850B-15E058608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14" i="1"/>
  <c r="F13" i="1"/>
  <c r="F12" i="1"/>
  <c r="F11" i="1"/>
  <c r="F10" i="1"/>
  <c r="F9" i="1"/>
  <c r="F8" i="1"/>
  <c r="F6" i="1"/>
  <c r="F5" i="1"/>
  <c r="B14" i="1"/>
  <c r="C14" i="1" s="1"/>
  <c r="D35" i="1" s="1"/>
  <c r="A14" i="1"/>
  <c r="B13" i="1"/>
  <c r="C13" i="1" s="1"/>
  <c r="D34" i="1" s="1"/>
  <c r="A13" i="1"/>
  <c r="B12" i="1"/>
  <c r="C12" i="1" s="1"/>
  <c r="D33" i="1" s="1"/>
  <c r="A12" i="1"/>
  <c r="B11" i="1"/>
  <c r="C11" i="1" s="1"/>
  <c r="D32" i="1" s="1"/>
  <c r="A11" i="1"/>
  <c r="B10" i="1"/>
  <c r="C10" i="1" s="1"/>
  <c r="D31" i="1" s="1"/>
  <c r="A10" i="1"/>
  <c r="B9" i="1"/>
  <c r="C9" i="1" s="1"/>
  <c r="D30" i="1" s="1"/>
  <c r="A9" i="1"/>
  <c r="B8" i="1"/>
  <c r="C8" i="1" s="1"/>
  <c r="D29" i="1" s="1"/>
  <c r="A8" i="1"/>
  <c r="A7" i="1"/>
  <c r="A6" i="1"/>
  <c r="A5" i="1"/>
  <c r="A4" i="1"/>
  <c r="A3" i="1"/>
  <c r="B7" i="1"/>
  <c r="C7" i="1" s="1"/>
  <c r="D28" i="1" s="1"/>
  <c r="B6" i="1"/>
  <c r="C6" i="1" s="1"/>
  <c r="D27" i="1" s="1"/>
  <c r="B5" i="1"/>
  <c r="C5" i="1" s="1"/>
  <c r="D26" i="1" s="1"/>
  <c r="B4" i="1"/>
  <c r="C4" i="1" s="1"/>
  <c r="D25" i="1" s="1"/>
  <c r="B3" i="1"/>
  <c r="C3" i="1" s="1"/>
  <c r="D24" i="1" s="1"/>
  <c r="B34" i="1" l="1"/>
  <c r="J34" i="1" s="1"/>
  <c r="B35" i="1"/>
  <c r="J35" i="1" s="1"/>
  <c r="B33" i="1"/>
  <c r="J33" i="1" s="1"/>
  <c r="B26" i="1"/>
  <c r="J26" i="1" s="1"/>
  <c r="B27" i="1"/>
  <c r="J27" i="1" s="1"/>
  <c r="B32" i="1"/>
  <c r="J32" i="1" s="1"/>
  <c r="B31" i="1"/>
  <c r="J31" i="1" s="1"/>
  <c r="B24" i="1"/>
  <c r="J24" i="1" s="1"/>
  <c r="B25" i="1"/>
  <c r="J25" i="1" s="1"/>
  <c r="B28" i="1"/>
  <c r="J28" i="1" s="1"/>
  <c r="B29" i="1"/>
  <c r="J29" i="1" s="1"/>
  <c r="B30" i="1"/>
  <c r="J30" i="1" s="1"/>
</calcChain>
</file>

<file path=xl/sharedStrings.xml><?xml version="1.0" encoding="utf-8"?>
<sst xmlns="http://schemas.openxmlformats.org/spreadsheetml/2006/main" count="118" uniqueCount="38">
  <si>
    <t>ファイルパス</t>
    <phoneticPr fontId="1"/>
  </si>
  <si>
    <t>/source/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</si>
  <si>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</si>
  <si>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</si>
  <si>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</si>
  <si>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</si>
  <si>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/</t>
    <phoneticPr fontId="1"/>
  </si>
  <si>
    <t>scr1</t>
    <phoneticPr fontId="1"/>
  </si>
  <si>
    <t>.txt</t>
    <phoneticPr fontId="1"/>
  </si>
  <si>
    <t>比較元</t>
    <rPh sb="0" eb="3">
      <t>ヒカクモト</t>
    </rPh>
    <phoneticPr fontId="1"/>
  </si>
  <si>
    <t>ロジック</t>
    <phoneticPr fontId="1"/>
  </si>
  <si>
    <t>.py</t>
    <phoneticPr fontId="1"/>
  </si>
  <si>
    <t>/source/a/DIFF__scr1_txt.txt</t>
  </si>
  <si>
    <t>-</t>
    <phoneticPr fontId="1"/>
  </si>
  <si>
    <t>項番</t>
    <rPh sb="0" eb="2">
      <t>コウバン</t>
    </rPh>
    <phoneticPr fontId="1"/>
  </si>
  <si>
    <t>初回設定</t>
    <rPh sb="0" eb="4">
      <t>ショカイセッテイ</t>
    </rPh>
    <phoneticPr fontId="1"/>
  </si>
  <si>
    <t>scr2</t>
    <phoneticPr fontId="1"/>
  </si>
  <si>
    <t>/source/a/DIFF__scr1_py.txt</t>
  </si>
  <si>
    <t>パス分解</t>
    <rPh sb="2" eb="4">
      <t>ブンカイ</t>
    </rPh>
    <phoneticPr fontId="1"/>
  </si>
  <si>
    <t>改修前後比較のdiffコマンド生成</t>
    <rPh sb="0" eb="4">
      <t>カイシュウゼンゴ</t>
    </rPh>
    <rPh sb="4" eb="6">
      <t>ヒカク</t>
    </rPh>
    <rPh sb="15" eb="17">
      <t>セイセイ</t>
    </rPh>
    <phoneticPr fontId="1"/>
  </si>
  <si>
    <t xml:space="preserve">diff </t>
    <phoneticPr fontId="1"/>
  </si>
  <si>
    <t>比較対象のフォルダ</t>
    <rPh sb="0" eb="4">
      <t>ヒカクタイショウ</t>
    </rPh>
    <phoneticPr fontId="1"/>
  </si>
  <si>
    <t>before</t>
    <phoneticPr fontId="1"/>
  </si>
  <si>
    <t>after</t>
    <phoneticPr fontId="1"/>
  </si>
  <si>
    <t>diff</t>
    <phoneticPr fontId="1"/>
  </si>
  <si>
    <t xml:space="preserve"> </t>
    <phoneticPr fontId="1"/>
  </si>
  <si>
    <t>アウトプットフォルダ</t>
    <phoneticPr fontId="1"/>
  </si>
  <si>
    <t>改修前後比較のdiffコマンド</t>
    <rPh sb="0" eb="6">
      <t>カイシュウゼンゴヒカク</t>
    </rPh>
    <phoneticPr fontId="1"/>
  </si>
  <si>
    <t>改修前ルートフォルダ</t>
    <rPh sb="0" eb="3">
      <t>カイシュウマエ</t>
    </rPh>
    <phoneticPr fontId="1"/>
  </si>
  <si>
    <t>改修後ルートフォルダ</t>
    <rPh sb="0" eb="3">
      <t>カイシュウゴ</t>
    </rPh>
    <phoneticPr fontId="1"/>
  </si>
  <si>
    <t>改修前-改修後比較 のdiff結果</t>
    <rPh sb="0" eb="2">
      <t>カイシュウ</t>
    </rPh>
    <rPh sb="2" eb="3">
      <t>マエ</t>
    </rPh>
    <rPh sb="4" eb="6">
      <t>カイシュウ</t>
    </rPh>
    <rPh sb="6" eb="7">
      <t>ゴ</t>
    </rPh>
    <rPh sb="7" eb="9">
      <t>ヒカク</t>
    </rPh>
    <rPh sb="15" eb="17">
      <t>ケッカ</t>
    </rPh>
    <phoneticPr fontId="1"/>
  </si>
  <si>
    <t>環境間差分の比較 のdiff結果</t>
    <rPh sb="0" eb="2">
      <t>カンキョウ</t>
    </rPh>
    <rPh sb="2" eb="3">
      <t>アイダ</t>
    </rPh>
    <rPh sb="3" eb="5">
      <t>サブン</t>
    </rPh>
    <rPh sb="6" eb="8">
      <t>ヒカク</t>
    </rPh>
    <rPh sb="14" eb="16">
      <t>ケッカ</t>
    </rPh>
    <phoneticPr fontId="1"/>
  </si>
  <si>
    <t>比較結果ルートフォルダ(前後)</t>
    <rPh sb="0" eb="2">
      <t>ヒカク</t>
    </rPh>
    <rPh sb="2" eb="4">
      <t>ケッカ</t>
    </rPh>
    <rPh sb="12" eb="14">
      <t>ゼンゴ</t>
    </rPh>
    <phoneticPr fontId="1"/>
  </si>
  <si>
    <t>比較結果ルートフォルダ(環境)</t>
    <rPh sb="0" eb="4">
      <t>ヒカクケッカ</t>
    </rPh>
    <rPh sb="12" eb="14">
      <t>カンキョウ</t>
    </rPh>
    <phoneticPr fontId="1"/>
  </si>
  <si>
    <t>env-diff</t>
    <phoneticPr fontId="1"/>
  </si>
  <si>
    <t>/source/b/DIFF__scr2_txt.txt</t>
  </si>
  <si>
    <t>/source/c/DIFF__scr2_txt.txt</t>
  </si>
  <si>
    <t>/source/d/DIFF__scr2_txt.txt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</si>
</sst>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rgb="FFFFFFFF"/>
      <name val="游ゴシック"/>
      <family val="3"/>
      <charset val="128"/>
      <scheme val="minor"/>
    </font>
    <font>
      <sz val="12"/>
      <color rgb="FFFFFFFF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4585-C3EB-47F2-AF04-B3E03FA5E65A}">
  <dimension ref="A1:N35"/>
  <sheetViews>
    <sheetView tabSelected="1" topLeftCell="B1" workbookViewId="0">
      <selection activeCell="D10" sqref="D10"/>
    </sheetView>
  </sheetViews>
  <sheetFormatPr defaultRowHeight="19.5" x14ac:dyDescent="0.4"/>
  <cols>
    <col min="1" max="1" width="33.25" style="1" bestFit="1" customWidth="1"/>
    <col min="2" max="4" width="54.5" style="1" customWidth="1"/>
    <col min="5" max="5" width="9" style="1"/>
    <col min="6" max="6" width="28.75" style="1" customWidth="1"/>
    <col min="7" max="16384" width="9" style="1"/>
  </cols>
  <sheetData>
    <row r="1" spans="1:14" x14ac:dyDescent="0.4">
      <c r="A1" s="2"/>
      <c r="B1" s="2"/>
      <c r="C1" s="2" t="s">
        <v>10</v>
      </c>
      <c r="D1" s="2" t="s">
        <v>15</v>
      </c>
      <c r="J1" s="2" t="s">
        <v>18</v>
      </c>
    </row>
    <row r="2" spans="1:14" x14ac:dyDescent="0.4">
      <c r="A2" s="3" t="s">
        <v>14</v>
      </c>
      <c r="B2" s="3" t="s">
        <v>0</v>
      </c>
      <c r="C2" s="3" t="s">
        <v>30</v>
      </c>
      <c r="D2" s="3" t="s">
        <v>9</v>
      </c>
      <c r="E2" s="4"/>
      <c r="F2" s="3" t="s">
        <v>31</v>
      </c>
      <c r="G2" s="4"/>
      <c r="H2" s="4"/>
      <c r="I2" s="4"/>
      <c r="J2" s="3"/>
      <c r="K2" s="3"/>
      <c r="L2" s="3"/>
      <c r="M2" s="3"/>
      <c r="N2" s="3"/>
    </row>
    <row r="3" spans="1:14" x14ac:dyDescent="0.4">
      <c r="A3" s="5">
        <f>ROW()-2</f>
        <v>1</v>
      </c>
      <c r="B3" s="5" t="str">
        <f>J3&amp;K3&amp;L3&amp;M3&amp;N3</f>
        <v>/source/a/scr1.txt</v>
      </c>
      <c r="C3" s="5" t="str">
        <f>SUBSTITUTE(B3,M3&amp;N3,"")&amp;"DIFF__"&amp;M3&amp;"_"&amp;SUBSTITUTE(N3,".","")&amp;".txt"</f>
        <v>/source/a/DIFF__scr1_txt.txt</v>
      </c>
      <c r="D3" s="5" t="s">
        <v>13</v>
      </c>
      <c r="F3" s="1" t="s">
        <v>13</v>
      </c>
      <c r="J3" s="6" t="s">
        <v>1</v>
      </c>
      <c r="K3" s="6" t="s">
        <v>2</v>
      </c>
      <c r="L3" s="6" t="s">
        <v>6</v>
      </c>
      <c r="M3" s="6" t="s">
        <v>7</v>
      </c>
      <c r="N3" s="6" t="s">
        <v>8</v>
      </c>
    </row>
    <row r="4" spans="1:14" x14ac:dyDescent="0.4">
      <c r="A4" s="5">
        <f>ROW()-2</f>
        <v>2</v>
      </c>
      <c r="B4" s="5" t="str">
        <f>J4&amp;K4&amp;L4&amp;M4&amp;N4</f>
        <v>/source/b/scr1.txt</v>
      </c>
      <c r="C4" s="5" t="str">
        <f t="shared" ref="C4:C7" si="0">SUBSTITUTE(B4,M4&amp;N4,"")&amp;"DIFF__"&amp;M4&amp;"_"&amp;SUBSTITUTE(N4,".","")&amp;".txt"</f>
        <v>/source/b/DIFF__scr1_txt.txt</v>
      </c>
      <c r="D4" s="5" t="s">
        <v>12</v>
      </c>
      <c r="F4" s="1" t="str">
        <f>SUBSTITUTE(B4,M4&amp;N4,"")</f>
        <v>/source/b/</v>
      </c>
      <c r="J4" s="6" t="s">
        <v>1</v>
      </c>
      <c r="K4" s="6" t="s">
        <v>3</v>
      </c>
      <c r="L4" s="6" t="s">
        <v>6</v>
      </c>
      <c r="M4" s="6" t="s">
        <v>7</v>
      </c>
      <c r="N4" s="6" t="s">
        <v>8</v>
      </c>
    </row>
    <row r="5" spans="1:14" x14ac:dyDescent="0.4">
      <c r="A5" s="5">
        <f>ROW()-2</f>
        <v>3</v>
      </c>
      <c r="B5" s="5" t="str">
        <f>J5&amp;K5&amp;L5&amp;M5&amp;N5</f>
        <v>/source/c/scr1.txt</v>
      </c>
      <c r="C5" s="5" t="str">
        <f t="shared" si="0"/>
        <v>/source/c/DIFF__scr1_txt.txt</v>
      </c>
      <c r="D5" s="5" t="s">
        <v>12</v>
      </c>
      <c r="F5" s="1" t="str">
        <f t="shared" ref="F5:F6" si="1">SUBSTITUTE(B5,M5&amp;N5,"")</f>
        <v>/source/c/</v>
      </c>
      <c r="J5" s="6" t="s">
        <v>1</v>
      </c>
      <c r="K5" s="6" t="s">
        <v>4</v>
      </c>
      <c r="L5" s="6" t="s">
        <v>6</v>
      </c>
      <c r="M5" s="6" t="s">
        <v>7</v>
      </c>
      <c r="N5" s="6" t="s">
        <v>8</v>
      </c>
    </row>
    <row r="6" spans="1:14" x14ac:dyDescent="0.4">
      <c r="A6" s="5">
        <f>ROW()-2</f>
        <v>4</v>
      </c>
      <c r="B6" s="5" t="str">
        <f>J6&amp;K6&amp;L6&amp;M6&amp;N6</f>
        <v>/source/d/scr1.txt</v>
      </c>
      <c r="C6" s="5" t="str">
        <f t="shared" si="0"/>
        <v>/source/d/DIFF__scr1_txt.txt</v>
      </c>
      <c r="D6" s="5" t="s">
        <v>12</v>
      </c>
      <c r="F6" s="1" t="str">
        <f t="shared" si="1"/>
        <v>/source/d/</v>
      </c>
      <c r="J6" s="6" t="s">
        <v>1</v>
      </c>
      <c r="K6" s="6" t="s">
        <v>5</v>
      </c>
      <c r="L6" s="6" t="s">
        <v>6</v>
      </c>
      <c r="M6" s="6" t="s">
        <v>7</v>
      </c>
      <c r="N6" s="6" t="s">
        <v>8</v>
      </c>
    </row>
    <row r="7" spans="1:14" x14ac:dyDescent="0.4">
      <c r="A7" s="5">
        <f>ROW()-2</f>
        <v>5</v>
      </c>
      <c r="B7" s="5" t="str">
        <f>J7&amp;K7&amp;L7&amp;M7&amp;N7</f>
        <v>/source/a/scr1.py</v>
      </c>
      <c r="C7" s="5" t="str">
        <f t="shared" si="0"/>
        <v>/source/a/DIFF__scr1_py.txt</v>
      </c>
      <c r="D7" s="5" t="s">
        <v>13</v>
      </c>
      <c r="F7" s="1" t="s">
        <v>13</v>
      </c>
      <c r="J7" s="6" t="s">
        <v>1</v>
      </c>
      <c r="K7" s="6" t="s">
        <v>2</v>
      </c>
      <c r="L7" s="6" t="s">
        <v>6</v>
      </c>
      <c r="M7" s="6" t="s">
        <v>7</v>
      </c>
      <c r="N7" s="6" t="s">
        <v>11</v>
      </c>
    </row>
    <row r="8" spans="1:14" x14ac:dyDescent="0.4">
      <c r="A8" s="5">
        <f t="shared" ref="A8:A14" si="2">ROW()-2</f>
        <v>6</v>
      </c>
      <c r="B8" s="5" t="str">
        <f t="shared" ref="B8:B11" si="3">J8&amp;K8&amp;L8&amp;M8&amp;N8</f>
        <v>/source/b/scr1.py</v>
      </c>
      <c r="C8" s="5" t="str">
        <f t="shared" ref="C8:C11" si="4">SUBSTITUTE(B8,M8&amp;N8,"")&amp;"DIFF__"&amp;M8&amp;"_"&amp;SUBSTITUTE(N8,".","")&amp;".txt"</f>
        <v>/source/b/DIFF__scr1_py.txt</v>
      </c>
      <c r="D8" s="5" t="s">
        <v>17</v>
      </c>
      <c r="F8" s="1" t="str">
        <f t="shared" ref="F8:F14" si="5">SUBSTITUTE(B8,M8&amp;N8,"")</f>
        <v>/source/b/</v>
      </c>
      <c r="J8" s="6" t="s">
        <v>1</v>
      </c>
      <c r="K8" s="6" t="s">
        <v>3</v>
      </c>
      <c r="L8" s="6" t="s">
        <v>6</v>
      </c>
      <c r="M8" s="6" t="s">
        <v>7</v>
      </c>
      <c r="N8" s="6" t="s">
        <v>11</v>
      </c>
    </row>
    <row r="9" spans="1:14" x14ac:dyDescent="0.4">
      <c r="A9" s="5">
        <f t="shared" si="2"/>
        <v>7</v>
      </c>
      <c r="B9" s="5" t="str">
        <f t="shared" si="3"/>
        <v>/source/c/scr1.py</v>
      </c>
      <c r="C9" s="5" t="str">
        <f t="shared" si="4"/>
        <v>/source/c/DIFF__scr1_py.txt</v>
      </c>
      <c r="D9" s="5" t="s">
        <v>17</v>
      </c>
      <c r="F9" s="1" t="str">
        <f t="shared" si="5"/>
        <v>/source/c/</v>
      </c>
      <c r="J9" s="6" t="s">
        <v>1</v>
      </c>
      <c r="K9" s="6" t="s">
        <v>4</v>
      </c>
      <c r="L9" s="6" t="s">
        <v>6</v>
      </c>
      <c r="M9" s="6" t="s">
        <v>7</v>
      </c>
      <c r="N9" s="6" t="s">
        <v>11</v>
      </c>
    </row>
    <row r="10" spans="1:14" x14ac:dyDescent="0.4">
      <c r="A10" s="5">
        <f t="shared" si="2"/>
        <v>8</v>
      </c>
      <c r="B10" s="5" t="str">
        <f t="shared" si="3"/>
        <v>/source/d/scr1.py</v>
      </c>
      <c r="C10" s="5" t="str">
        <f t="shared" si="4"/>
        <v>/source/d/DIFF__scr1_py.txt</v>
      </c>
      <c r="D10" s="5" t="s">
        <v>17</v>
      </c>
      <c r="F10" s="1" t="str">
        <f t="shared" si="5"/>
        <v>/source/d/</v>
      </c>
      <c r="J10" s="6" t="s">
        <v>1</v>
      </c>
      <c r="K10" s="6" t="s">
        <v>5</v>
      </c>
      <c r="L10" s="6" t="s">
        <v>6</v>
      </c>
      <c r="M10" s="6" t="s">
        <v>7</v>
      </c>
      <c r="N10" s="6" t="s">
        <v>11</v>
      </c>
    </row>
    <row r="11" spans="1:14" x14ac:dyDescent="0.4">
      <c r="A11" s="5">
        <f t="shared" si="2"/>
        <v>9</v>
      </c>
      <c r="B11" s="5" t="str">
        <f t="shared" si="3"/>
        <v>/source/a/scr2.txt</v>
      </c>
      <c r="C11" s="5" t="str">
        <f t="shared" si="4"/>
        <v>/source/a/DIFF__scr2_txt.txt</v>
      </c>
      <c r="D11" s="5" t="s">
        <v>13</v>
      </c>
      <c r="F11" s="1" t="str">
        <f t="shared" si="5"/>
        <v>/source/a/</v>
      </c>
      <c r="J11" s="6" t="s">
        <v>1</v>
      </c>
      <c r="K11" s="6" t="s">
        <v>2</v>
      </c>
      <c r="L11" s="6" t="s">
        <v>6</v>
      </c>
      <c r="M11" s="6" t="s">
        <v>16</v>
      </c>
      <c r="N11" s="6" t="s">
        <v>8</v>
      </c>
    </row>
    <row r="12" spans="1:14" x14ac:dyDescent="0.4">
      <c r="A12" s="5">
        <f t="shared" si="2"/>
        <v>10</v>
      </c>
      <c r="B12" s="5" t="str">
        <f>J12&amp;K12&amp;L12&amp;M12&amp;N12</f>
        <v>/source/b/scr2.txt</v>
      </c>
      <c r="C12" s="5" t="str">
        <f>SUBSTITUTE(B12,M12&amp;N12,"")&amp;"DIFF__"&amp;M12&amp;"_"&amp;SUBSTITUTE(N12,".","")&amp;".txt"</f>
        <v>/source/b/DIFF__scr2_txt.txt</v>
      </c>
      <c r="D12" s="5" t="s">
        <v>35</v>
      </c>
      <c r="F12" s="1" t="str">
        <f t="shared" si="5"/>
        <v>/source/b/</v>
      </c>
      <c r="J12" s="6" t="s">
        <v>1</v>
      </c>
      <c r="K12" s="6" t="s">
        <v>3</v>
      </c>
      <c r="L12" s="6" t="s">
        <v>6</v>
      </c>
      <c r="M12" s="6" t="s">
        <v>16</v>
      </c>
      <c r="N12" s="6" t="s">
        <v>8</v>
      </c>
    </row>
    <row r="13" spans="1:14" x14ac:dyDescent="0.4">
      <c r="A13" s="5">
        <f t="shared" si="2"/>
        <v>11</v>
      </c>
      <c r="B13" s="5" t="str">
        <f>J13&amp;K13&amp;L13&amp;M13&amp;N13</f>
        <v>/source/c/scr2.txt</v>
      </c>
      <c r="C13" s="5" t="str">
        <f>SUBSTITUTE(B13,M13&amp;N13,"")&amp;"DIFF__"&amp;M13&amp;"_"&amp;SUBSTITUTE(N13,".","")&amp;".txt"</f>
        <v>/source/c/DIFF__scr2_txt.txt</v>
      </c>
      <c r="D13" s="5" t="s">
        <v>36</v>
      </c>
      <c r="F13" s="1" t="str">
        <f t="shared" si="5"/>
        <v>/source/c/</v>
      </c>
      <c r="J13" s="6" t="s">
        <v>1</v>
      </c>
      <c r="K13" s="6" t="s">
        <v>4</v>
      </c>
      <c r="L13" s="6" t="s">
        <v>6</v>
      </c>
      <c r="M13" s="6" t="s">
        <v>16</v>
      </c>
      <c r="N13" s="6" t="s">
        <v>8</v>
      </c>
    </row>
    <row r="14" spans="1:14" x14ac:dyDescent="0.4">
      <c r="A14" s="5">
        <f t="shared" si="2"/>
        <v>12</v>
      </c>
      <c r="B14" s="5" t="str">
        <f>J14&amp;K14&amp;L14&amp;M14&amp;N14</f>
        <v>/source/d/scr2.txt</v>
      </c>
      <c r="C14" s="5" t="str">
        <f>SUBSTITUTE(B14,M14&amp;N14,"")&amp;"DIFF__"&amp;M14&amp;"_"&amp;SUBSTITUTE(N14,".","")&amp;".txt"</f>
        <v>/source/d/DIFF__scr2_txt.txt</v>
      </c>
      <c r="D14" s="5" t="s">
        <v>37</v>
      </c>
      <c r="F14" s="1" t="str">
        <f t="shared" si="5"/>
        <v>/source/d/</v>
      </c>
      <c r="J14" s="6" t="s">
        <v>1</v>
      </c>
      <c r="K14" s="6" t="s">
        <v>5</v>
      </c>
      <c r="L14" s="6" t="s">
        <v>6</v>
      </c>
      <c r="M14" s="6" t="s">
        <v>16</v>
      </c>
      <c r="N14" s="6" t="s">
        <v>8</v>
      </c>
    </row>
    <row r="15" spans="1:14" x14ac:dyDescent="0.4">
      <c r="A15" s="5"/>
      <c r="B15" s="5"/>
      <c r="C15" s="5"/>
      <c r="D15" s="5"/>
      <c r="J15" s="6"/>
      <c r="K15" s="6"/>
      <c r="L15" s="6"/>
      <c r="M15" s="6"/>
      <c r="N15" s="6"/>
    </row>
    <row r="17" spans="1:14" x14ac:dyDescent="0.4">
      <c r="A17" s="9" t="s">
        <v>21</v>
      </c>
      <c r="B17" s="9"/>
      <c r="C17" s="2"/>
      <c r="D17" s="2"/>
    </row>
    <row r="18" spans="1:14" x14ac:dyDescent="0.4">
      <c r="A18" s="10" t="s">
        <v>28</v>
      </c>
      <c r="B18" s="5" t="s">
        <v>22</v>
      </c>
      <c r="C18" s="2"/>
      <c r="D18" s="2"/>
    </row>
    <row r="19" spans="1:14" x14ac:dyDescent="0.4">
      <c r="A19" s="10" t="s">
        <v>29</v>
      </c>
      <c r="B19" s="5" t="s">
        <v>23</v>
      </c>
      <c r="C19" s="2"/>
      <c r="D19" s="2"/>
    </row>
    <row r="20" spans="1:14" x14ac:dyDescent="0.4">
      <c r="A20" s="9" t="s">
        <v>26</v>
      </c>
      <c r="B20" s="9"/>
      <c r="C20" s="2"/>
      <c r="D20" s="2"/>
    </row>
    <row r="21" spans="1:14" x14ac:dyDescent="0.4">
      <c r="A21" s="11" t="s">
        <v>32</v>
      </c>
      <c r="B21" s="12" t="s">
        <v>24</v>
      </c>
      <c r="C21" s="2"/>
      <c r="D21" s="2"/>
    </row>
    <row r="22" spans="1:14" x14ac:dyDescent="0.4">
      <c r="A22" s="11" t="s">
        <v>33</v>
      </c>
      <c r="B22" s="12" t="s">
        <v>34</v>
      </c>
      <c r="C22" s="2"/>
      <c r="D22" s="2"/>
    </row>
    <row r="23" spans="1:14" x14ac:dyDescent="0.4">
      <c r="A23" s="9" t="s">
        <v>19</v>
      </c>
      <c r="B23" s="9"/>
      <c r="C23" s="7"/>
      <c r="D23" s="9"/>
      <c r="E23" s="8"/>
      <c r="F23" s="8"/>
      <c r="G23" s="8"/>
      <c r="H23" s="8"/>
      <c r="I23" s="8"/>
      <c r="J23" s="9" t="s">
        <v>27</v>
      </c>
      <c r="K23" s="8"/>
      <c r="L23" s="8"/>
      <c r="M23" s="8"/>
      <c r="N23" s="8"/>
    </row>
    <row r="24" spans="1:14" x14ac:dyDescent="0.4">
      <c r="A24" s="5" t="s">
        <v>20</v>
      </c>
      <c r="B24" s="5" t="str">
        <f>$B$18&amp;$B3&amp;" "&amp;$B$19&amp;$B3</f>
        <v>before/source/a/scr1.txt after/source/a/scr1.txt</v>
      </c>
      <c r="C24" s="2" t="s">
        <v>25</v>
      </c>
      <c r="D24" s="5" t="str">
        <f>$B$21&amp;$C3</f>
        <v>diff/source/a/DIFF__scr1_txt.txt</v>
      </c>
      <c r="J24" s="5" t="str">
        <f t="shared" ref="J24" si="6">$A24&amp;$B24&amp;$C24&amp;$D24</f>
        <v>diff before/source/a/scr1.txt after/source/a/scr1.txt diff/source/a/DIFF__scr1_txt.txt</v>
      </c>
    </row>
    <row r="25" spans="1:14" x14ac:dyDescent="0.4">
      <c r="A25" s="5" t="s">
        <v>20</v>
      </c>
      <c r="B25" s="5" t="str">
        <f>$B$18&amp;$B4&amp;" "&amp;$B$19&amp;$B4</f>
        <v>before/source/b/scr1.txt after/source/b/scr1.txt</v>
      </c>
      <c r="C25" s="2" t="s">
        <v>25</v>
      </c>
      <c r="D25" s="5" t="str">
        <f>$B$21&amp;$C4</f>
        <v>diff/source/b/DIFF__scr1_txt.txt</v>
      </c>
      <c r="J25" s="5" t="str">
        <f>$A25&amp;$B25&amp;$C25&amp;$D25</f>
        <v>diff before/source/b/scr1.txt after/source/b/scr1.txt diff/source/b/DIFF__scr1_txt.txt</v>
      </c>
    </row>
    <row r="26" spans="1:14" x14ac:dyDescent="0.4">
      <c r="A26" s="5" t="s">
        <v>20</v>
      </c>
      <c r="B26" s="5" t="str">
        <f>$B$18&amp;$B5&amp;" "&amp;$B$19&amp;$B5</f>
        <v>before/source/c/scr1.txt after/source/c/scr1.txt</v>
      </c>
      <c r="C26" s="2" t="s">
        <v>25</v>
      </c>
      <c r="D26" s="5" t="str">
        <f>$B$21&amp;$C5</f>
        <v>diff/source/c/DIFF__scr1_txt.txt</v>
      </c>
      <c r="J26" s="5" t="str">
        <f t="shared" ref="J26:J35" si="7">$A26&amp;$B26&amp;$C26&amp;$D26</f>
        <v>diff before/source/c/scr1.txt after/source/c/scr1.txt diff/source/c/DIFF__scr1_txt.txt</v>
      </c>
    </row>
    <row r="27" spans="1:14" x14ac:dyDescent="0.4">
      <c r="A27" s="5" t="s">
        <v>20</v>
      </c>
      <c r="B27" s="5" t="str">
        <f>$B$18&amp;$B6&amp;" "&amp;$B$19&amp;$B6</f>
        <v>before/source/d/scr1.txt after/source/d/scr1.txt</v>
      </c>
      <c r="C27" s="2" t="s">
        <v>25</v>
      </c>
      <c r="D27" s="5" t="str">
        <f>$B$21&amp;$C6</f>
        <v>diff/source/d/DIFF__scr1_txt.txt</v>
      </c>
      <c r="J27" s="5" t="str">
        <f t="shared" si="7"/>
        <v>diff before/source/d/scr1.txt after/source/d/scr1.txt diff/source/d/DIFF__scr1_txt.txt</v>
      </c>
    </row>
    <row r="28" spans="1:14" x14ac:dyDescent="0.4">
      <c r="A28" s="5" t="s">
        <v>20</v>
      </c>
      <c r="B28" s="5" t="str">
        <f>$B$18&amp;$B7&amp;" "&amp;$B$19&amp;$B7</f>
        <v>before/source/a/scr1.py after/source/a/scr1.py</v>
      </c>
      <c r="C28" s="2" t="s">
        <v>25</v>
      </c>
      <c r="D28" s="5" t="str">
        <f>$B$21&amp;$C7</f>
        <v>diff/source/a/DIFF__scr1_py.txt</v>
      </c>
      <c r="J28" s="5" t="str">
        <f t="shared" si="7"/>
        <v>diff before/source/a/scr1.py after/source/a/scr1.py diff/source/a/DIFF__scr1_py.txt</v>
      </c>
    </row>
    <row r="29" spans="1:14" x14ac:dyDescent="0.4">
      <c r="A29" s="5" t="s">
        <v>20</v>
      </c>
      <c r="B29" s="5" t="str">
        <f>$B$18&amp;$B8&amp;" "&amp;$B$19&amp;$B8</f>
        <v>before/source/b/scr1.py after/source/b/scr1.py</v>
      </c>
      <c r="C29" s="2" t="s">
        <v>25</v>
      </c>
      <c r="D29" s="5" t="str">
        <f>$B$21&amp;$C8</f>
        <v>diff/source/b/DIFF__scr1_py.txt</v>
      </c>
      <c r="J29" s="5" t="str">
        <f t="shared" si="7"/>
        <v>diff before/source/b/scr1.py after/source/b/scr1.py diff/source/b/DIFF__scr1_py.txt</v>
      </c>
    </row>
    <row r="30" spans="1:14" x14ac:dyDescent="0.4">
      <c r="A30" s="5" t="s">
        <v>20</v>
      </c>
      <c r="B30" s="5" t="str">
        <f>$B$18&amp;$B9&amp;" "&amp;$B$19&amp;$B9</f>
        <v>before/source/c/scr1.py after/source/c/scr1.py</v>
      </c>
      <c r="C30" s="2" t="s">
        <v>25</v>
      </c>
      <c r="D30" s="5" t="str">
        <f>$B$21&amp;$C9</f>
        <v>diff/source/c/DIFF__scr1_py.txt</v>
      </c>
      <c r="J30" s="5" t="str">
        <f t="shared" si="7"/>
        <v>diff before/source/c/scr1.py after/source/c/scr1.py diff/source/c/DIFF__scr1_py.txt</v>
      </c>
    </row>
    <row r="31" spans="1:14" x14ac:dyDescent="0.4">
      <c r="A31" s="5" t="s">
        <v>20</v>
      </c>
      <c r="B31" s="5" t="str">
        <f>$B$18&amp;$B10&amp;" "&amp;$B$19&amp;$B10</f>
        <v>before/source/d/scr1.py after/source/d/scr1.py</v>
      </c>
      <c r="C31" s="2" t="s">
        <v>25</v>
      </c>
      <c r="D31" s="5" t="str">
        <f>$B$21&amp;$C10</f>
        <v>diff/source/d/DIFF__scr1_py.txt</v>
      </c>
      <c r="J31" s="5" t="str">
        <f t="shared" si="7"/>
        <v>diff before/source/d/scr1.py after/source/d/scr1.py diff/source/d/DIFF__scr1_py.txt</v>
      </c>
    </row>
    <row r="32" spans="1:14" x14ac:dyDescent="0.4">
      <c r="A32" s="5" t="s">
        <v>20</v>
      </c>
      <c r="B32" s="5" t="str">
        <f>$B$18&amp;$B11&amp;" "&amp;$B$19&amp;$B11</f>
        <v>before/source/a/scr2.txt after/source/a/scr2.txt</v>
      </c>
      <c r="C32" s="2" t="s">
        <v>25</v>
      </c>
      <c r="D32" s="5" t="str">
        <f>$B$21&amp;$C11</f>
        <v>diff/source/a/DIFF__scr2_txt.txt</v>
      </c>
      <c r="J32" s="5" t="str">
        <f t="shared" si="7"/>
        <v>diff before/source/a/scr2.txt after/source/a/scr2.txt diff/source/a/DIFF__scr2_txt.txt</v>
      </c>
    </row>
    <row r="33" spans="1:10" x14ac:dyDescent="0.4">
      <c r="A33" s="5" t="s">
        <v>20</v>
      </c>
      <c r="B33" s="5" t="str">
        <f>$B$18&amp;$B12&amp;" "&amp;$B$19&amp;$B12</f>
        <v>before/source/b/scr2.txt after/source/b/scr2.txt</v>
      </c>
      <c r="C33" s="2" t="s">
        <v>25</v>
      </c>
      <c r="D33" s="5" t="str">
        <f>$B$21&amp;$C12</f>
        <v>diff/source/b/DIFF__scr2_txt.txt</v>
      </c>
      <c r="J33" s="5" t="str">
        <f t="shared" si="7"/>
        <v>diff before/source/b/scr2.txt after/source/b/scr2.txt diff/source/b/DIFF__scr2_txt.txt</v>
      </c>
    </row>
    <row r="34" spans="1:10" x14ac:dyDescent="0.4">
      <c r="A34" s="5" t="s">
        <v>20</v>
      </c>
      <c r="B34" s="5" t="str">
        <f>$B$18&amp;$B13&amp;" "&amp;$B$19&amp;$B13</f>
        <v>before/source/c/scr2.txt after/source/c/scr2.txt</v>
      </c>
      <c r="C34" s="2" t="s">
        <v>25</v>
      </c>
      <c r="D34" s="5" t="str">
        <f>$B$21&amp;$C13</f>
        <v>diff/source/c/DIFF__scr2_txt.txt</v>
      </c>
      <c r="J34" s="5" t="str">
        <f t="shared" si="7"/>
        <v>diff before/source/c/scr2.txt after/source/c/scr2.txt diff/source/c/DIFF__scr2_txt.txt</v>
      </c>
    </row>
    <row r="35" spans="1:10" x14ac:dyDescent="0.4">
      <c r="A35" s="5" t="s">
        <v>20</v>
      </c>
      <c r="B35" s="5" t="str">
        <f>$B$18&amp;$B14&amp;" "&amp;$B$19&amp;$B14</f>
        <v>before/source/d/scr2.txt after/source/d/scr2.txt</v>
      </c>
      <c r="C35" s="2" t="s">
        <v>25</v>
      </c>
      <c r="D35" s="5" t="str">
        <f>$B$21&amp;$C14</f>
        <v>diff/source/d/DIFF__scr2_txt.txt</v>
      </c>
      <c r="J35" s="5" t="str">
        <f t="shared" si="7"/>
        <v>diff before/source/d/scr2.txt after/source/d/scr2.txt diff/source/d/DIFF__scr2_txt.txt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屋敷 大介</dc:creator>
  <cp:lastModifiedBy>屋敷 大介</cp:lastModifiedBy>
  <dcterms:created xsi:type="dcterms:W3CDTF">2026-03-27T00:11:21Z</dcterms:created>
  <dcterms:modified xsi:type="dcterms:W3CDTF">2026-03-27T01:22:10Z</dcterms:modified>
</cp:coreProperties>
</file>