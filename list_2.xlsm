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\Desktop\diff\"/>
    </mc:Choice>
  </mc:AlternateContent>
  <xr:revisionPtr revIDLastSave="0" documentId="13_ncr:1_{37893B2A-B62F-4CB6-8BC3-0592894530AF}" xr6:coauthVersionLast="47" xr6:coauthVersionMax="47" xr10:uidLastSave="{00000000-0000-0000-0000-000000000000}"/>
  <bookViews>
    <workbookView xWindow="-120" yWindow="-120" windowWidth="38640" windowHeight="21120" xr2:uid="{4E420BF3-AB21-4911-850B-15E058608D43}"/>
  </bookViews>
  <sheets>
    <sheet name="Sheet1" sheetId="1" r:id="rId1"/>
    <sheet name="リポジトリ配下ファイルの取得" sheetId="4" r:id="rId2"/>
    <sheet name="ディレクトリ名と処理概要" sheetId="3" r:id="rId3"/>
    <sheet name="マクロ設定" sheetId="2" r:id="rId4"/>
  </sheets>
  <functionGroups builtInGroupCount="19"/>
  <definedNames>
    <definedName name="_xlnm._FilterDatabase" localSheetId="0" hidden="1">Sheet1!$A$2:$L$15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K15" i="1"/>
  <c r="K14" i="1"/>
  <c r="K13" i="1"/>
  <c r="K12" i="1"/>
  <c r="K11" i="1"/>
  <c r="K10" i="1"/>
  <c r="K9" i="1"/>
  <c r="K8" i="1"/>
  <c r="K6" i="1"/>
  <c r="K3" i="1"/>
  <c r="J7" i="1"/>
  <c r="J5" i="1"/>
  <c r="A15" i="1"/>
  <c r="A14" i="1"/>
  <c r="A13" i="1"/>
  <c r="A12" i="1"/>
  <c r="A11" i="1"/>
  <c r="A10" i="1"/>
  <c r="A9" i="1"/>
  <c r="A3" i="1"/>
  <c r="A4" i="1"/>
  <c r="A5" i="1"/>
  <c r="A6" i="1"/>
  <c r="A7" i="1"/>
  <c r="A8" i="1"/>
  <c r="J15" i="1"/>
  <c r="J14" i="1"/>
  <c r="J13" i="1"/>
  <c r="J12" i="1"/>
  <c r="J11" i="1"/>
  <c r="J10" i="1"/>
  <c r="J9" i="1"/>
  <c r="J8" i="1"/>
  <c r="J4" i="1"/>
  <c r="J3" i="1"/>
  <c r="J6" i="1"/>
  <c r="G15" i="1"/>
  <c r="G14" i="1"/>
  <c r="G13" i="1"/>
  <c r="G12" i="1"/>
  <c r="G11" i="1"/>
  <c r="G10" i="1"/>
  <c r="G9" i="1"/>
  <c r="F15" i="1"/>
  <c r="F14" i="1"/>
  <c r="F13" i="1"/>
  <c r="F12" i="1"/>
  <c r="F11" i="1"/>
  <c r="F10" i="1"/>
  <c r="F9" i="1"/>
  <c r="F8" i="1"/>
  <c r="F6" i="1"/>
  <c r="F5" i="1"/>
  <c r="F4" i="1"/>
  <c r="F3" i="1"/>
  <c r="F7" i="1"/>
  <c r="K7" i="1" s="1"/>
  <c r="D15" i="1"/>
  <c r="D14" i="1"/>
  <c r="D13" i="1"/>
  <c r="D12" i="1"/>
  <c r="D11" i="1"/>
  <c r="D10" i="1"/>
  <c r="D9" i="1"/>
  <c r="D8" i="1"/>
  <c r="E15" i="1"/>
  <c r="E14" i="1"/>
  <c r="E13" i="1"/>
  <c r="E12" i="1"/>
  <c r="E11" i="1"/>
  <c r="E10" i="1"/>
  <c r="E9" i="1"/>
  <c r="E8" i="1"/>
  <c r="E6" i="1"/>
  <c r="E5" i="1"/>
  <c r="E4" i="1"/>
  <c r="E3" i="1"/>
  <c r="E7" i="1"/>
  <c r="D6" i="1"/>
  <c r="D5" i="1"/>
  <c r="D4" i="1"/>
  <c r="D3" i="1"/>
  <c r="D7" i="1"/>
  <c r="C15" i="3"/>
  <c r="C16" i="3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K5" i="1" l="1"/>
  <c r="G8" i="1"/>
  <c r="G3" i="1"/>
  <c r="G4" i="1"/>
  <c r="G5" i="1"/>
  <c r="G6" i="1"/>
  <c r="G7" i="1"/>
</calcChain>
</file>

<file path=xl/sharedStrings.xml><?xml version="1.0" encoding="utf-8"?>
<sst xmlns="http://schemas.openxmlformats.org/spreadsheetml/2006/main" count="80" uniqueCount="67">
  <si>
    <t>-</t>
    <phoneticPr fontId="1"/>
  </si>
  <si>
    <t>項番</t>
    <rPh sb="0" eb="2">
      <t>コウバン</t>
    </rPh>
    <phoneticPr fontId="1"/>
  </si>
  <si>
    <t>before</t>
    <phoneticPr fontId="1"/>
  </si>
  <si>
    <t>after</t>
    <phoneticPr fontId="1"/>
  </si>
  <si>
    <t>改修前-改修後比較 のdiff結果</t>
    <rPh sb="0" eb="2">
      <t>カイシュウ</t>
    </rPh>
    <rPh sb="2" eb="3">
      <t>マエ</t>
    </rPh>
    <rPh sb="4" eb="6">
      <t>カイシュウ</t>
    </rPh>
    <rPh sb="6" eb="7">
      <t>ゴ</t>
    </rPh>
    <rPh sb="7" eb="9">
      <t>ヒカク</t>
    </rPh>
    <rPh sb="15" eb="17">
      <t>ケッカ</t>
    </rPh>
    <phoneticPr fontId="1"/>
  </si>
  <si>
    <t>値</t>
    <rPh sb="0" eb="1">
      <t>アタイ</t>
    </rPh>
    <phoneticPr fontId="1"/>
  </si>
  <si>
    <t>読取範囲の最左上セル</t>
    <rPh sb="0" eb="4">
      <t>ヨミトリハンイ</t>
    </rPh>
    <rPh sb="5" eb="6">
      <t>モット</t>
    </rPh>
    <rPh sb="6" eb="8">
      <t>ヒダリウエ</t>
    </rPh>
    <phoneticPr fontId="1"/>
  </si>
  <si>
    <t>出力範囲の際左上セル</t>
    <rPh sb="0" eb="2">
      <t>シュツリョク</t>
    </rPh>
    <rPh sb="2" eb="4">
      <t>ハンイ</t>
    </rPh>
    <rPh sb="5" eb="6">
      <t>サイ</t>
    </rPh>
    <rPh sb="6" eb="8">
      <t>ヒダリウエ</t>
    </rPh>
    <phoneticPr fontId="1"/>
  </si>
  <si>
    <t>B3</t>
    <phoneticPr fontId="1"/>
  </si>
  <si>
    <t>処理内容</t>
    <rPh sb="0" eb="4">
      <t>ショリナイヨウ</t>
    </rPh>
    <phoneticPr fontId="1"/>
  </si>
  <si>
    <t>共通</t>
    <rPh sb="0" eb="2">
      <t>キョウツウ</t>
    </rPh>
    <phoneticPr fontId="1"/>
  </si>
  <si>
    <t>シート名</t>
    <rPh sb="3" eb="4">
      <t>メイ</t>
    </rPh>
    <phoneticPr fontId="1"/>
  </si>
  <si>
    <t>Sheet1</t>
    <phoneticPr fontId="1"/>
  </si>
  <si>
    <t>ファイルパス分割結果出力</t>
    <rPh sb="6" eb="8">
      <t>ブンカツ</t>
    </rPh>
    <rPh sb="8" eb="10">
      <t>ケッカ</t>
    </rPh>
    <rPh sb="10" eb="12">
      <t>シュツリョク</t>
    </rPh>
    <phoneticPr fontId="1"/>
  </si>
  <si>
    <t>ファイルパス読取位置</t>
    <rPh sb="6" eb="8">
      <t>ヨミトリ</t>
    </rPh>
    <rPh sb="8" eb="10">
      <t>イチ</t>
    </rPh>
    <phoneticPr fontId="1"/>
  </si>
  <si>
    <t>指定するセル</t>
    <rPh sb="0" eb="2">
      <t>シテイ</t>
    </rPh>
    <phoneticPr fontId="1"/>
  </si>
  <si>
    <t>diff_改修前後</t>
    <rPh sb="5" eb="9">
      <t>カイシュウゼンゴ</t>
    </rPh>
    <phoneticPr fontId="1"/>
  </si>
  <si>
    <t>diff_環境差分</t>
    <rPh sb="5" eb="9">
      <t>カンキョウサブン</t>
    </rPh>
    <phoneticPr fontId="1"/>
  </si>
  <si>
    <t>改修後のプロジェクトを指定</t>
    <rPh sb="0" eb="3">
      <t>カイシュウゴ</t>
    </rPh>
    <rPh sb="11" eb="13">
      <t>シテイ</t>
    </rPh>
    <phoneticPr fontId="1"/>
  </si>
  <si>
    <t>改修前のプロジェクトを指定</t>
    <rPh sb="0" eb="3">
      <t>カイシュウマエ</t>
    </rPh>
    <rPh sb="11" eb="13">
      <t>シテイ</t>
    </rPh>
    <phoneticPr fontId="1"/>
  </si>
  <si>
    <t>改修前後差分結果を格納するフォルダを指定</t>
    <rPh sb="0" eb="4">
      <t>カイシュウゼンゴ</t>
    </rPh>
    <rPh sb="4" eb="6">
      <t>サブン</t>
    </rPh>
    <rPh sb="6" eb="8">
      <t>ケッカ</t>
    </rPh>
    <rPh sb="9" eb="11">
      <t>カクノウ</t>
    </rPh>
    <rPh sb="18" eb="20">
      <t>シテイ</t>
    </rPh>
    <phoneticPr fontId="1"/>
  </si>
  <si>
    <t>改修前後差分の環境差分を格納するフォルダを指定</t>
    <rPh sb="0" eb="4">
      <t>カイシュウゼンゴ</t>
    </rPh>
    <rPh sb="4" eb="6">
      <t>サブン</t>
    </rPh>
    <rPh sb="7" eb="9">
      <t>カンキョウ</t>
    </rPh>
    <rPh sb="9" eb="11">
      <t>サブン</t>
    </rPh>
    <rPh sb="12" eb="14">
      <t>カクノウ</t>
    </rPh>
    <rPh sb="21" eb="23">
      <t>シテイ</t>
    </rPh>
    <phoneticPr fontId="1"/>
  </si>
  <si>
    <t>概要</t>
    <rPh sb="0" eb="2">
      <t>ガイヨウ</t>
    </rPh>
    <phoneticPr fontId="1"/>
  </si>
  <si>
    <t>フォルダ名</t>
    <rPh sb="4" eb="5">
      <t>メイ</t>
    </rPh>
    <phoneticPr fontId="1"/>
  </si>
  <si>
    <t>パス</t>
    <phoneticPr fontId="1"/>
  </si>
  <si>
    <t>作成</t>
    <rPh sb="0" eb="2">
      <t>サクセイ</t>
    </rPh>
    <phoneticPr fontId="1"/>
  </si>
  <si>
    <t>自動</t>
    <rPh sb="0" eb="2">
      <t>ジドウ</t>
    </rPh>
    <phoneticPr fontId="1"/>
  </si>
  <si>
    <t>ルートパス</t>
    <phoneticPr fontId="1"/>
  </si>
  <si>
    <t>ファイル名(ルートからの相対パス)</t>
    <rPh sb="4" eb="5">
      <t>メイ</t>
    </rPh>
    <rPh sb="12" eb="14">
      <t>ソウタイ</t>
    </rPh>
    <phoneticPr fontId="1"/>
  </si>
  <si>
    <t>環境差分</t>
    <rPh sb="0" eb="4">
      <t>カンキョウサブン</t>
    </rPh>
    <phoneticPr fontId="1"/>
  </si>
  <si>
    <t>環境差分比較時の比較元</t>
    <rPh sb="0" eb="2">
      <t>カンキョウ</t>
    </rPh>
    <rPh sb="2" eb="4">
      <t>サブン</t>
    </rPh>
    <rPh sb="4" eb="6">
      <t>ヒカク</t>
    </rPh>
    <rPh sb="6" eb="7">
      <t>ジ</t>
    </rPh>
    <rPh sb="8" eb="11">
      <t>ヒカクモト</t>
    </rPh>
    <phoneticPr fontId="1"/>
  </si>
  <si>
    <t>改修前後</t>
    <rPh sb="0" eb="4">
      <t>カイシュウゼンゴ</t>
    </rPh>
    <phoneticPr fontId="1"/>
  </si>
  <si>
    <t>改修前</t>
    <rPh sb="0" eb="2">
      <t>カイシュウ</t>
    </rPh>
    <rPh sb="2" eb="3">
      <t>マエ</t>
    </rPh>
    <phoneticPr fontId="1"/>
  </si>
  <si>
    <t>改修後</t>
    <rPh sb="0" eb="3">
      <t>カイシュウゴ</t>
    </rPh>
    <phoneticPr fontId="1"/>
  </si>
  <si>
    <t>改修前後のdiffコマンド</t>
    <rPh sb="0" eb="4">
      <t>カイシュウゼンゴ</t>
    </rPh>
    <phoneticPr fontId="1"/>
  </si>
  <si>
    <t>改修前後比較結果を格納するフォルダ構成の作成</t>
    <rPh sb="0" eb="4">
      <t>カイシュウゼンゴ</t>
    </rPh>
    <rPh sb="4" eb="6">
      <t>ヒカク</t>
    </rPh>
    <rPh sb="6" eb="8">
      <t>ケッカ</t>
    </rPh>
    <rPh sb="9" eb="11">
      <t>カクノウ</t>
    </rPh>
    <rPh sb="17" eb="19">
      <t>コウセイ</t>
    </rPh>
    <rPh sb="20" eb="22">
      <t>サクセイ</t>
    </rPh>
    <phoneticPr fontId="1"/>
  </si>
  <si>
    <t>コマンド</t>
    <phoneticPr fontId="1"/>
  </si>
  <si>
    <t>実行</t>
    <rPh sb="0" eb="2">
      <t>ジッコウ</t>
    </rPh>
    <phoneticPr fontId="1"/>
  </si>
  <si>
    <t>cmd</t>
    <phoneticPr fontId="1"/>
  </si>
  <si>
    <t>手入力</t>
    <rPh sb="0" eb="3">
      <t>テニュウリョク</t>
    </rPh>
    <phoneticPr fontId="1"/>
  </si>
  <si>
    <t>dir構成でABCが分かれている場合</t>
    <rPh sb="3" eb="5">
      <t>コウセイ</t>
    </rPh>
    <rPh sb="10" eb="11">
      <t>ワ</t>
    </rPh>
    <rPh sb="16" eb="18">
      <t>バアイ</t>
    </rPh>
    <phoneticPr fontId="1"/>
  </si>
  <si>
    <t>ファイルパス(リポジトリ相対パス※区切り/)</t>
    <rPh sb="12" eb="14">
      <t>ソウタイ</t>
    </rPh>
    <rPh sb="17" eb="19">
      <t>クギ</t>
    </rPh>
    <phoneticPr fontId="1"/>
  </si>
  <si>
    <t>改修前後の環境差分のdiffコマンド</t>
    <rPh sb="5" eb="9">
      <t>カンキョウサブン</t>
    </rPh>
    <phoneticPr fontId="1"/>
  </si>
  <si>
    <t>関数</t>
    <rPh sb="0" eb="2">
      <t>カンスウ</t>
    </rPh>
    <phoneticPr fontId="1"/>
  </si>
  <si>
    <t>環境間差分の比較 のdiff結果</t>
    <phoneticPr fontId="1"/>
  </si>
  <si>
    <t>改修前後比較結果の環境差分を格納するフォルダ構成の作成</t>
    <rPh sb="0" eb="2">
      <t>カイシュウ</t>
    </rPh>
    <rPh sb="2" eb="4">
      <t>ゼンゴ</t>
    </rPh>
    <rPh sb="4" eb="6">
      <t>ヒカク</t>
    </rPh>
    <rPh sb="6" eb="8">
      <t>ケッカ</t>
    </rPh>
    <rPh sb="9" eb="11">
      <t>カンキョウ</t>
    </rPh>
    <rPh sb="11" eb="13">
      <t>サブン</t>
    </rPh>
    <rPh sb="14" eb="16">
      <t>カクノウ</t>
    </rPh>
    <rPh sb="22" eb="24">
      <t>コウセイ</t>
    </rPh>
    <rPh sb="25" eb="27">
      <t>サクセイ</t>
    </rPh>
    <phoneticPr fontId="1"/>
  </si>
  <si>
    <t>手動</t>
    <rPh sb="0" eb="2">
      <t>シュドウ</t>
    </rPh>
    <phoneticPr fontId="1"/>
  </si>
  <si>
    <t>M3</t>
    <phoneticPr fontId="1"/>
  </si>
  <si>
    <t>root_sample_1\dir\dir2\a\Env.txt</t>
  </si>
  <si>
    <t>root_sample_1\dir\dir2\a\NoEnv.txt</t>
  </si>
  <si>
    <t>root_sample_1\dir\dir2\b\Env.txt</t>
  </si>
  <si>
    <t>root_sample_1\dir\dir2\b\NoEnv.txt</t>
  </si>
  <si>
    <t>root_sample_1\dir\dir2\c\Env.txt</t>
  </si>
  <si>
    <t>root_sample_1\dir\dir2\c\NoEnv.txt</t>
  </si>
  <si>
    <t>root_sample_1/dir/dir2/a/Env.txt</t>
  </si>
  <si>
    <t>root_sample_1/dir/dir2/a/NoEnv.txt</t>
  </si>
  <si>
    <t>root_sample_1/dir/dir2/b/Env.txt</t>
  </si>
  <si>
    <t>root_sample_1/dir/dir2/b/NoEnv.txt</t>
  </si>
  <si>
    <t>root_sample_1/dir/dir2/c/Env.txt</t>
  </si>
  <si>
    <t>root_sample_1/dir/dir2/c/NoEnv.txt</t>
  </si>
  <si>
    <t>〇</t>
    <phoneticPr fontId="1"/>
  </si>
  <si>
    <t>root_sample_1/dir/dir2/a/Env.txt</t>
    <phoneticPr fontId="1"/>
  </si>
  <si>
    <t>C:/Users/UserA/Desktop/diff/after</t>
  </si>
  <si>
    <t>C:/Users/UserA/Desktop/diff/before</t>
  </si>
  <si>
    <t>C:/Users/UserA/Desktop/diff/01_diff_改修前後比較</t>
  </si>
  <si>
    <t>C:/Users/UserA/Desktop/diff/02_diff_環境差分比較</t>
  </si>
  <si>
    <t>C:\Users\UserA\Desktop\diff\after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</si>
</sst>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rgb="FFFFFFFF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5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6" fillId="2" borderId="1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0" fontId="7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center" vertical="center"/>
    </xf>
    <xf numFmtId="0" fontId="8" fillId="2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top"/>
    </xf>
    <xf numFmtId="0" fontId="9" fillId="4" borderId="1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6" fillId="5" borderId="1" xfId="0" applyFont="1" applyFill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9525</xdr:rowOff>
    </xdr:from>
    <xdr:to>
      <xdr:col>2</xdr:col>
      <xdr:colOff>657225</xdr:colOff>
      <xdr:row>1</xdr:row>
      <xdr:rowOff>19050</xdr:rowOff>
    </xdr:to>
    <xdr:sp macro="[0]!ListRelativeFilePaths" textlink="">
      <xdr:nvSpPr>
        <xdr:cNvPr id="2" name="正方形/長方形 1">
          <a:extLst>
            <a:ext uri="{FF2B5EF4-FFF2-40B4-BE49-F238E27FC236}">
              <a16:creationId xmlns:a16="http://schemas.microsoft.com/office/drawing/2014/main" id="{8CE3EE56-B08B-DCE0-523A-C5EE929764AC}"/>
            </a:ext>
          </a:extLst>
        </xdr:cNvPr>
        <xdr:cNvSpPr/>
      </xdr:nvSpPr>
      <xdr:spPr>
        <a:xfrm>
          <a:off x="8134350" y="9525"/>
          <a:ext cx="64770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B4585-C3EB-47F2-AF04-B3E03FA5E65A}">
  <sheetPr codeName="Sheet1" filterMode="1"/>
  <dimension ref="A1:L15"/>
  <sheetViews>
    <sheetView tabSelected="1" zoomScale="70" zoomScaleNormal="70" workbookViewId="0">
      <selection activeCell="F37" sqref="F37"/>
    </sheetView>
  </sheetViews>
  <sheetFormatPr defaultRowHeight="19.5" outlineLevelCol="2" x14ac:dyDescent="0.4"/>
  <cols>
    <col min="1" max="1" width="5.875" style="1" bestFit="1" customWidth="1"/>
    <col min="2" max="2" width="46.25" style="1" bestFit="1" customWidth="1"/>
    <col min="3" max="3" width="10" style="1" bestFit="1" customWidth="1"/>
    <col min="4" max="4" width="65.125" style="1" hidden="1" customWidth="1" outlineLevel="2"/>
    <col min="5" max="5" width="63.375" style="1" hidden="1" customWidth="1" outlineLevel="2"/>
    <col min="6" max="6" width="87.625" style="1" customWidth="1" collapsed="1"/>
    <col min="7" max="7" width="234.75" style="1" hidden="1" customWidth="1" outlineLevel="1"/>
    <col min="8" max="8" width="73.5" style="1" customWidth="1" collapsed="1"/>
    <col min="9" max="9" width="9" style="1"/>
    <col min="10" max="10" width="89.625" style="1" bestFit="1" customWidth="1"/>
    <col min="11" max="11" width="240.875" style="1" customWidth="1"/>
    <col min="12" max="16384" width="9" style="1"/>
  </cols>
  <sheetData>
    <row r="1" spans="1:12" x14ac:dyDescent="0.4">
      <c r="A1" s="2" t="s">
        <v>40</v>
      </c>
      <c r="B1" s="2"/>
      <c r="C1" s="2"/>
      <c r="D1" s="2" t="s">
        <v>31</v>
      </c>
      <c r="E1" s="2"/>
      <c r="F1" s="2"/>
      <c r="G1" s="2"/>
      <c r="H1" s="2" t="s">
        <v>39</v>
      </c>
      <c r="J1" s="1" t="s">
        <v>43</v>
      </c>
    </row>
    <row r="2" spans="1:12" x14ac:dyDescent="0.4">
      <c r="A2" s="3" t="s">
        <v>1</v>
      </c>
      <c r="B2" s="3" t="s">
        <v>41</v>
      </c>
      <c r="C2" s="3" t="s">
        <v>29</v>
      </c>
      <c r="D2" s="3" t="s">
        <v>32</v>
      </c>
      <c r="E2" s="3" t="s">
        <v>33</v>
      </c>
      <c r="F2" s="3" t="s">
        <v>4</v>
      </c>
      <c r="G2" s="3" t="s">
        <v>34</v>
      </c>
      <c r="H2" s="21" t="s">
        <v>30</v>
      </c>
      <c r="I2" s="4"/>
      <c r="J2" s="3" t="s">
        <v>44</v>
      </c>
      <c r="K2" s="3" t="s">
        <v>42</v>
      </c>
      <c r="L2" s="4"/>
    </row>
    <row r="3" spans="1:12" hidden="1" x14ac:dyDescent="0.4">
      <c r="A3" s="5">
        <f>IF(B3="","",ROW()-2)</f>
        <v>1</v>
      </c>
      <c r="B3" s="5" t="s">
        <v>54</v>
      </c>
      <c r="C3" s="5" t="s">
        <v>60</v>
      </c>
      <c r="D3" s="5" t="str">
        <f>IF(B3="","",ディレクトリ名と処理概要!$C$3&amp;"/"&amp;B3)</f>
        <v>C:/Users/UserA/Desktop/diff/before/root_sample_1/dir/dir2/a/Env.txt</v>
      </c>
      <c r="E3" s="5" t="str">
        <f>IF(B3="","",ディレクトリ名と処理概要!$C$2&amp;"/"&amp;Sheet1!B3)</f>
        <v>C:/Users/UserA/Desktop/diff/after/root_sample_1/dir/dir2/a/Env.txt</v>
      </c>
      <c r="F3" s="5" t="str">
        <f>IF(B3="","",ディレクトリ名と処理概要!$C$4&amp;"/"&amp;Sheet1!B3)</f>
        <v>C:/Users/UserA/Desktop/diff/01_diff_改修前後比較/root_sample_1/dir/dir2/a/Env.txt</v>
      </c>
      <c r="G3" s="5" t="str">
        <f t="shared" ref="G3:G6" si="0">IF(B3="","","diff """&amp;E3&amp;""" "&amp;""""&amp;D3&amp;""" "&amp;"| grep -E ""^[&lt;&gt;]"" &gt; "&amp;""""&amp;F3&amp;"""")</f>
        <v>diff "C:/Users/UserA/Desktop/diff/after/root_sample_1/dir/dir2/a/Env.txt" "C:/Users/UserA/Desktop/diff/before/root_sample_1/dir/dir2/a/Env.txt" | grep -E "^[&lt;&gt;]" &gt; "C:/Users/UserA/Desktop/diff/01_diff_改修前後比較/root_sample_1/dir/dir2/a/Env.txt"</v>
      </c>
      <c r="H3" s="5" t="s">
        <v>0</v>
      </c>
      <c r="J3" s="5" t="str">
        <f>IF(OR(H3="-",H3=""),"-",ディレクトリ名と処理概要!$C$5&amp;"/"&amp;Sheet1!B3)</f>
        <v>-</v>
      </c>
      <c r="K3" s="6" t="str">
        <f>IF(OR(H3="-",H3=""),"-","diff """&amp;ディレクトリ名と処理概要!$C$4&amp;"/"&amp;H3&amp;""" """&amp;F3&amp;""" &gt; "&amp;""""&amp;J3&amp;"""")</f>
        <v>-</v>
      </c>
    </row>
    <row r="4" spans="1:12" hidden="1" x14ac:dyDescent="0.4">
      <c r="A4" s="5">
        <f>IF(B4="","",ROW()-2)</f>
        <v>2</v>
      </c>
      <c r="B4" s="5" t="s">
        <v>55</v>
      </c>
      <c r="C4" s="5"/>
      <c r="D4" s="5" t="str">
        <f>IF(B4="","",ディレクトリ名と処理概要!$C$3&amp;"/"&amp;B4)</f>
        <v>C:/Users/UserA/Desktop/diff/before/root_sample_1/dir/dir2/a/NoEnv.txt</v>
      </c>
      <c r="E4" s="5" t="str">
        <f>IF(B4="","",ディレクトリ名と処理概要!$C$2&amp;"/"&amp;Sheet1!B4)</f>
        <v>C:/Users/UserA/Desktop/diff/after/root_sample_1/dir/dir2/a/NoEnv.txt</v>
      </c>
      <c r="F4" s="5" t="str">
        <f>IF(B4="","",ディレクトリ名と処理概要!$C$4&amp;"/"&amp;Sheet1!B4)</f>
        <v>C:/Users/UserA/Desktop/diff/01_diff_改修前後比較/root_sample_1/dir/dir2/a/NoEnv.txt</v>
      </c>
      <c r="G4" s="5" t="str">
        <f t="shared" si="0"/>
        <v>diff "C:/Users/UserA/Desktop/diff/after/root_sample_1/dir/dir2/a/NoEnv.txt" "C:/Users/UserA/Desktop/diff/before/root_sample_1/dir/dir2/a/NoEnv.txt" | grep -E "^[&lt;&gt;]" &gt; "C:/Users/UserA/Desktop/diff/01_diff_改修前後比較/root_sample_1/dir/dir2/a/NoEnv.txt"</v>
      </c>
      <c r="H4" s="5" t="s">
        <v>0</v>
      </c>
      <c r="J4" s="5" t="str">
        <f>IF(OR(H4="-",H4=""),"-",ディレクトリ名と処理概要!$C$5&amp;"/"&amp;Sheet1!B4)</f>
        <v>-</v>
      </c>
      <c r="K4" s="6" t="str">
        <f>IF(OR(H4="-",H4=""),"-","diff """&amp;ディレクトリ名と処理概要!$C$4&amp;"/"&amp;H4&amp;""" """&amp;F4&amp;""" &gt; "&amp;""""&amp;J4&amp;"""")</f>
        <v>-</v>
      </c>
    </row>
    <row r="5" spans="1:12" x14ac:dyDescent="0.4">
      <c r="A5" s="5">
        <f>IF(B5="","",ROW()-2)</f>
        <v>3</v>
      </c>
      <c r="B5" s="5" t="s">
        <v>56</v>
      </c>
      <c r="C5" s="5" t="s">
        <v>60</v>
      </c>
      <c r="D5" s="5" t="str">
        <f>IF(B5="","",ディレクトリ名と処理概要!$C$3&amp;"/"&amp;B5)</f>
        <v>C:/Users/UserA/Desktop/diff/before/root_sample_1/dir/dir2/b/Env.txt</v>
      </c>
      <c r="E5" s="5" t="str">
        <f>IF(B5="","",ディレクトリ名と処理概要!$C$2&amp;"/"&amp;Sheet1!B5)</f>
        <v>C:/Users/UserA/Desktop/diff/after/root_sample_1/dir/dir2/b/Env.txt</v>
      </c>
      <c r="F5" s="5" t="str">
        <f>IF(B5="","",ディレクトリ名と処理概要!$C$4&amp;"/"&amp;Sheet1!B5)</f>
        <v>C:/Users/UserA/Desktop/diff/01_diff_改修前後比較/root_sample_1/dir/dir2/b/Env.txt</v>
      </c>
      <c r="G5" s="5" t="str">
        <f t="shared" si="0"/>
        <v>diff "C:/Users/UserA/Desktop/diff/after/root_sample_1/dir/dir2/b/Env.txt" "C:/Users/UserA/Desktop/diff/before/root_sample_1/dir/dir2/b/Env.txt" | grep -E "^[&lt;&gt;]" &gt; "C:/Users/UserA/Desktop/diff/01_diff_改修前後比較/root_sample_1/dir/dir2/b/Env.txt"</v>
      </c>
      <c r="H5" s="5" t="s">
        <v>61</v>
      </c>
      <c r="J5" s="5" t="str">
        <f>IF(OR(H5="-",H5=""),"-",ディレクトリ名と処理概要!$C$5&amp;"/"&amp;Sheet1!B5)</f>
        <v>C:/Users/UserA/Desktop/diff/02_diff_環境差分比較/root_sample_1/dir/dir2/b/Env.txt</v>
      </c>
      <c r="K5" s="6" t="str">
        <f>IF(OR(H5="-",H5=""),"-","diff """&amp;ディレクトリ名と処理概要!$C$4&amp;"/"&amp;H5&amp;""" """&amp;F5&amp;""" &gt; "&amp;""""&amp;J5&amp;"""")</f>
        <v>diff "C:/Users/UserA/Desktop/diff/01_diff_改修前後比較/root_sample_1/dir/dir2/a/Env.txt" "C:/Users/UserA/Desktop/diff/01_diff_改修前後比較/root_sample_1/dir/dir2/b/Env.txt" &gt; "C:/Users/UserA/Desktop/diff/02_diff_環境差分比較/root_sample_1/dir/dir2/b/Env.txt"</v>
      </c>
    </row>
    <row r="6" spans="1:12" hidden="1" x14ac:dyDescent="0.4">
      <c r="A6" s="5">
        <f>IF(B6="","",ROW()-2)</f>
        <v>4</v>
      </c>
      <c r="B6" s="5" t="s">
        <v>57</v>
      </c>
      <c r="C6" s="5"/>
      <c r="D6" s="5" t="str">
        <f>IF(B6="","",ディレクトリ名と処理概要!$C$3&amp;"/"&amp;B6)</f>
        <v>C:/Users/UserA/Desktop/diff/before/root_sample_1/dir/dir2/b/NoEnv.txt</v>
      </c>
      <c r="E6" s="5" t="str">
        <f>IF(B6="","",ディレクトリ名と処理概要!$C$2&amp;"/"&amp;Sheet1!B6)</f>
        <v>C:/Users/UserA/Desktop/diff/after/root_sample_1/dir/dir2/b/NoEnv.txt</v>
      </c>
      <c r="F6" s="5" t="str">
        <f>IF(B6="","",ディレクトリ名と処理概要!$C$4&amp;"/"&amp;Sheet1!B6)</f>
        <v>C:/Users/UserA/Desktop/diff/01_diff_改修前後比較/root_sample_1/dir/dir2/b/NoEnv.txt</v>
      </c>
      <c r="G6" s="5" t="str">
        <f t="shared" si="0"/>
        <v>diff "C:/Users/UserA/Desktop/diff/after/root_sample_1/dir/dir2/b/NoEnv.txt" "C:/Users/UserA/Desktop/diff/before/root_sample_1/dir/dir2/b/NoEnv.txt" | grep -E "^[&lt;&gt;]" &gt; "C:/Users/UserA/Desktop/diff/01_diff_改修前後比較/root_sample_1/dir/dir2/b/NoEnv.txt"</v>
      </c>
      <c r="H6" s="5" t="s">
        <v>0</v>
      </c>
      <c r="J6" s="5" t="str">
        <f>IF(OR(H6="-",H6=""),"-",ディレクトリ名と処理概要!$C$5&amp;"/"&amp;Sheet1!B6)</f>
        <v>-</v>
      </c>
      <c r="K6" s="6" t="str">
        <f>IF(OR(H6="-",H6=""),"-","diff """&amp;ディレクトリ名と処理概要!$C$4&amp;"/"&amp;H6&amp;""" """&amp;F6&amp;""" &gt; "&amp;""""&amp;J6&amp;"""")</f>
        <v>-</v>
      </c>
    </row>
    <row r="7" spans="1:12" x14ac:dyDescent="0.4">
      <c r="A7" s="5">
        <f>IF(B7="","",ROW()-2)</f>
        <v>5</v>
      </c>
      <c r="B7" s="5" t="s">
        <v>58</v>
      </c>
      <c r="C7" s="5" t="s">
        <v>60</v>
      </c>
      <c r="D7" s="5" t="str">
        <f>IF(B7="","",ディレクトリ名と処理概要!$C$3&amp;"/"&amp;B7)</f>
        <v>C:/Users/UserA/Desktop/diff/before/root_sample_1/dir/dir2/c/Env.txt</v>
      </c>
      <c r="E7" s="5" t="str">
        <f>IF(B7="","",ディレクトリ名と処理概要!$C$2&amp;"/"&amp;Sheet1!B7)</f>
        <v>C:/Users/UserA/Desktop/diff/after/root_sample_1/dir/dir2/c/Env.txt</v>
      </c>
      <c r="F7" s="5" t="str">
        <f>IF(B7="","",ディレクトリ名と処理概要!$C$4&amp;"/"&amp;Sheet1!B7)</f>
        <v>C:/Users/UserA/Desktop/diff/01_diff_改修前後比較/root_sample_1/dir/dir2/c/Env.txt</v>
      </c>
      <c r="G7" s="5" t="str">
        <f>IF(B7="","","diff """&amp;E7&amp;""" "&amp;""""&amp;D7&amp;""" "&amp;"| grep -E ""^[&lt;&gt;]"" &gt; "&amp;""""&amp;F7&amp;"""")</f>
        <v>diff "C:/Users/UserA/Desktop/diff/after/root_sample_1/dir/dir2/c/Env.txt" "C:/Users/UserA/Desktop/diff/before/root_sample_1/dir/dir2/c/Env.txt" | grep -E "^[&lt;&gt;]" &gt; "C:/Users/UserA/Desktop/diff/01_diff_改修前後比較/root_sample_1/dir/dir2/c/Env.txt"</v>
      </c>
      <c r="H7" s="5" t="s">
        <v>61</v>
      </c>
      <c r="J7" s="5" t="str">
        <f>IF(OR(H7="-",H7=""),"-",ディレクトリ名と処理概要!$C$5&amp;"/"&amp;Sheet1!B7)</f>
        <v>C:/Users/UserA/Desktop/diff/02_diff_環境差分比較/root_sample_1/dir/dir2/c/Env.txt</v>
      </c>
      <c r="K7" s="6" t="str">
        <f>IF(OR(H7="-",H7=""),"-","diff """&amp;ディレクトリ名と処理概要!$C$4&amp;"/"&amp;H7&amp;""" """&amp;F7&amp;""" &gt; "&amp;""""&amp;J7&amp;"""")</f>
        <v>diff "C:/Users/UserA/Desktop/diff/01_diff_改修前後比較/root_sample_1/dir/dir2/a/Env.txt" "C:/Users/UserA/Desktop/diff/01_diff_改修前後比較/root_sample_1/dir/dir2/c/Env.txt" &gt; "C:/Users/UserA/Desktop/diff/02_diff_環境差分比較/root_sample_1/dir/dir2/c/Env.txt"</v>
      </c>
    </row>
    <row r="8" spans="1:12" hidden="1" x14ac:dyDescent="0.4">
      <c r="A8" s="5">
        <f>IF(B8="","",ROW()-2)</f>
        <v>6</v>
      </c>
      <c r="B8" s="5" t="s">
        <v>59</v>
      </c>
      <c r="C8" s="5"/>
      <c r="D8" s="5" t="str">
        <f>IF(B8="","",ディレクトリ名と処理概要!$C$3&amp;"/"&amp;B8)</f>
        <v>C:/Users/UserA/Desktop/diff/before/root_sample_1/dir/dir2/c/NoEnv.txt</v>
      </c>
      <c r="E8" s="5" t="str">
        <f>IF(B8="","",ディレクトリ名と処理概要!$C$2&amp;"/"&amp;Sheet1!B8)</f>
        <v>C:/Users/UserA/Desktop/diff/after/root_sample_1/dir/dir2/c/NoEnv.txt</v>
      </c>
      <c r="F8" s="5" t="str">
        <f>IF(B8="","",ディレクトリ名と処理概要!$C$4&amp;"/"&amp;Sheet1!B8)</f>
        <v>C:/Users/UserA/Desktop/diff/01_diff_改修前後比較/root_sample_1/dir/dir2/c/NoEnv.txt</v>
      </c>
      <c r="G8" s="5" t="str">
        <f t="shared" ref="G8:G15" si="1">IF(B8="","","diff """&amp;E8&amp;""" "&amp;""""&amp;D8&amp;""" "&amp;"| grep -E ""^[&lt;&gt;]"" &gt; "&amp;""""&amp;F8&amp;"""")</f>
        <v>diff "C:/Users/UserA/Desktop/diff/after/root_sample_1/dir/dir2/c/NoEnv.txt" "C:/Users/UserA/Desktop/diff/before/root_sample_1/dir/dir2/c/NoEnv.txt" | grep -E "^[&lt;&gt;]" &gt; "C:/Users/UserA/Desktop/diff/01_diff_改修前後比較/root_sample_1/dir/dir2/c/NoEnv.txt"</v>
      </c>
      <c r="H8" s="5" t="s">
        <v>0</v>
      </c>
      <c r="J8" s="5" t="str">
        <f>IF(OR(H8="-",H8=""),"-",ディレクトリ名と処理概要!$C$5&amp;"/"&amp;Sheet1!B8)</f>
        <v>-</v>
      </c>
      <c r="K8" s="6" t="str">
        <f>IF(OR(H8="-",H8=""),"-","diff """&amp;ディレクトリ名と処理概要!$C$4&amp;"/"&amp;H8&amp;""" """&amp;F8&amp;""" &gt; "&amp;""""&amp;J8&amp;"""")</f>
        <v>-</v>
      </c>
    </row>
    <row r="9" spans="1:12" hidden="1" x14ac:dyDescent="0.4">
      <c r="A9" s="5" t="str">
        <f t="shared" ref="A9:A15" si="2">IF(B9="","",ROW()-2)</f>
        <v/>
      </c>
      <c r="B9" s="5"/>
      <c r="C9" s="5"/>
      <c r="D9" s="5" t="str">
        <f>IF(B9="","",ディレクトリ名と処理概要!$C$3&amp;"/"&amp;B9)</f>
        <v/>
      </c>
      <c r="E9" s="5" t="str">
        <f>IF(B9="","",ディレクトリ名と処理概要!$C$2&amp;"/"&amp;Sheet1!B9)</f>
        <v/>
      </c>
      <c r="F9" s="5" t="str">
        <f>IF(B9="","",ディレクトリ名と処理概要!$C$4&amp;"/"&amp;Sheet1!B9)</f>
        <v/>
      </c>
      <c r="G9" s="5" t="str">
        <f t="shared" si="1"/>
        <v/>
      </c>
      <c r="H9" s="5"/>
      <c r="J9" s="5" t="str">
        <f>IF(OR(H9="-",H9=""),"-",ディレクトリ名と処理概要!$C$5&amp;"/"&amp;Sheet1!B9)</f>
        <v>-</v>
      </c>
      <c r="K9" s="6" t="str">
        <f>IF(OR(H9="-",H9=""),"-","diff """&amp;ディレクトリ名と処理概要!$C$4&amp;"/"&amp;H9&amp;""" """&amp;F9&amp;""" &gt; "&amp;""""&amp;J9&amp;"""")</f>
        <v>-</v>
      </c>
    </row>
    <row r="10" spans="1:12" hidden="1" x14ac:dyDescent="0.4">
      <c r="A10" s="5" t="str">
        <f t="shared" si="2"/>
        <v/>
      </c>
      <c r="B10" s="5"/>
      <c r="C10" s="5"/>
      <c r="D10" s="5" t="str">
        <f>IF(B10="","",ディレクトリ名と処理概要!$C$3&amp;"/"&amp;B10)</f>
        <v/>
      </c>
      <c r="E10" s="5" t="str">
        <f>IF(B10="","",ディレクトリ名と処理概要!$C$2&amp;"/"&amp;Sheet1!B10)</f>
        <v/>
      </c>
      <c r="F10" s="5" t="str">
        <f>IF(B10="","",ディレクトリ名と処理概要!$C$4&amp;"/"&amp;Sheet1!B10)</f>
        <v/>
      </c>
      <c r="G10" s="5" t="str">
        <f t="shared" si="1"/>
        <v/>
      </c>
      <c r="H10" s="5"/>
      <c r="J10" s="5" t="str">
        <f>IF(OR(H10="-",H10=""),"-",ディレクトリ名と処理概要!$C$5&amp;"/"&amp;Sheet1!B10)</f>
        <v>-</v>
      </c>
      <c r="K10" s="6" t="str">
        <f>IF(OR(H10="-",H10=""),"-","diff """&amp;ディレクトリ名と処理概要!$C$4&amp;"/"&amp;H10&amp;""" """&amp;F10&amp;""" &gt; "&amp;""""&amp;J10&amp;"""")</f>
        <v>-</v>
      </c>
    </row>
    <row r="11" spans="1:12" hidden="1" x14ac:dyDescent="0.4">
      <c r="A11" s="5" t="str">
        <f t="shared" si="2"/>
        <v/>
      </c>
      <c r="B11" s="5"/>
      <c r="C11" s="5"/>
      <c r="D11" s="5" t="str">
        <f>IF(B11="","",ディレクトリ名と処理概要!$C$3&amp;"/"&amp;B11)</f>
        <v/>
      </c>
      <c r="E11" s="5" t="str">
        <f>IF(B11="","",ディレクトリ名と処理概要!$C$2&amp;"/"&amp;Sheet1!B11)</f>
        <v/>
      </c>
      <c r="F11" s="5" t="str">
        <f>IF(B11="","",ディレクトリ名と処理概要!$C$4&amp;"/"&amp;Sheet1!B11)</f>
        <v/>
      </c>
      <c r="G11" s="5" t="str">
        <f t="shared" si="1"/>
        <v/>
      </c>
      <c r="H11" s="5"/>
      <c r="J11" s="5" t="str">
        <f>IF(OR(H11="-",H11=""),"-",ディレクトリ名と処理概要!$C$5&amp;"/"&amp;Sheet1!B11)</f>
        <v>-</v>
      </c>
      <c r="K11" s="6" t="str">
        <f>IF(OR(H11="-",H11=""),"-","diff """&amp;ディレクトリ名と処理概要!$C$4&amp;"/"&amp;H11&amp;""" """&amp;F11&amp;""" &gt; "&amp;""""&amp;J11&amp;"""")</f>
        <v>-</v>
      </c>
    </row>
    <row r="12" spans="1:12" hidden="1" x14ac:dyDescent="0.4">
      <c r="A12" s="5" t="str">
        <f t="shared" si="2"/>
        <v/>
      </c>
      <c r="B12" s="5"/>
      <c r="C12" s="5"/>
      <c r="D12" s="5" t="str">
        <f>IF(B12="","",ディレクトリ名と処理概要!$C$3&amp;"/"&amp;B12)</f>
        <v/>
      </c>
      <c r="E12" s="5" t="str">
        <f>IF(B12="","",ディレクトリ名と処理概要!$C$2&amp;"/"&amp;Sheet1!B12)</f>
        <v/>
      </c>
      <c r="F12" s="5" t="str">
        <f>IF(B12="","",ディレクトリ名と処理概要!$C$4&amp;"/"&amp;Sheet1!B12)</f>
        <v/>
      </c>
      <c r="G12" s="5" t="str">
        <f t="shared" si="1"/>
        <v/>
      </c>
      <c r="H12" s="5"/>
      <c r="J12" s="5" t="str">
        <f>IF(OR(H12="-",H12=""),"-",ディレクトリ名と処理概要!$C$5&amp;"/"&amp;Sheet1!B12)</f>
        <v>-</v>
      </c>
      <c r="K12" s="6" t="str">
        <f>IF(OR(H12="-",H12=""),"-","diff """&amp;ディレクトリ名と処理概要!$C$4&amp;"/"&amp;H12&amp;""" """&amp;F12&amp;""" &gt; "&amp;""""&amp;J12&amp;"""")</f>
        <v>-</v>
      </c>
    </row>
    <row r="13" spans="1:12" hidden="1" x14ac:dyDescent="0.4">
      <c r="A13" s="5" t="str">
        <f t="shared" si="2"/>
        <v/>
      </c>
      <c r="B13" s="5"/>
      <c r="C13" s="5"/>
      <c r="D13" s="5" t="str">
        <f>IF(B13="","",ディレクトリ名と処理概要!$C$3&amp;"/"&amp;B13)</f>
        <v/>
      </c>
      <c r="E13" s="5" t="str">
        <f>IF(B13="","",ディレクトリ名と処理概要!$C$2&amp;"/"&amp;Sheet1!B13)</f>
        <v/>
      </c>
      <c r="F13" s="5" t="str">
        <f>IF(B13="","",ディレクトリ名と処理概要!$C$4&amp;"/"&amp;Sheet1!B13)</f>
        <v/>
      </c>
      <c r="G13" s="5" t="str">
        <f t="shared" si="1"/>
        <v/>
      </c>
      <c r="H13" s="5"/>
      <c r="J13" s="5" t="str">
        <f>IF(OR(H13="-",H13=""),"-",ディレクトリ名と処理概要!$C$5&amp;"/"&amp;Sheet1!B13)</f>
        <v>-</v>
      </c>
      <c r="K13" s="6" t="str">
        <f>IF(OR(H13="-",H13=""),"-","diff """&amp;ディレクトリ名と処理概要!$C$4&amp;"/"&amp;H13&amp;""" """&amp;F13&amp;""" &gt; "&amp;""""&amp;J13&amp;"""")</f>
        <v>-</v>
      </c>
    </row>
    <row r="14" spans="1:12" hidden="1" x14ac:dyDescent="0.4">
      <c r="A14" s="5" t="str">
        <f t="shared" si="2"/>
        <v/>
      </c>
      <c r="B14" s="5"/>
      <c r="C14" s="5"/>
      <c r="D14" s="5" t="str">
        <f>IF(B14="","",ディレクトリ名と処理概要!$C$3&amp;"/"&amp;B14)</f>
        <v/>
      </c>
      <c r="E14" s="5" t="str">
        <f>IF(B14="","",ディレクトリ名と処理概要!$C$2&amp;"/"&amp;Sheet1!B14)</f>
        <v/>
      </c>
      <c r="F14" s="5" t="str">
        <f>IF(B14="","",ディレクトリ名と処理概要!$C$4&amp;"/"&amp;Sheet1!B14)</f>
        <v/>
      </c>
      <c r="G14" s="5" t="str">
        <f t="shared" si="1"/>
        <v/>
      </c>
      <c r="H14" s="5"/>
      <c r="J14" s="5" t="str">
        <f>IF(OR(H14="-",H14=""),"-",ディレクトリ名と処理概要!$C$5&amp;"/"&amp;Sheet1!B14)</f>
        <v>-</v>
      </c>
      <c r="K14" s="6" t="str">
        <f>IF(OR(H14="-",H14=""),"-","diff """&amp;ディレクトリ名と処理概要!$C$4&amp;"/"&amp;H14&amp;""" """&amp;F14&amp;""" &gt; "&amp;""""&amp;J14&amp;"""")</f>
        <v>-</v>
      </c>
    </row>
    <row r="15" spans="1:12" hidden="1" x14ac:dyDescent="0.4">
      <c r="A15" s="5" t="str">
        <f t="shared" si="2"/>
        <v/>
      </c>
      <c r="B15" s="5"/>
      <c r="C15" s="5"/>
      <c r="D15" s="5" t="str">
        <f>IF(B15="","",ディレクトリ名と処理概要!$C$3&amp;"/"&amp;B15)</f>
        <v/>
      </c>
      <c r="E15" s="5" t="str">
        <f>IF(B15="","",ディレクトリ名と処理概要!$C$2&amp;"/"&amp;Sheet1!B15)</f>
        <v/>
      </c>
      <c r="F15" s="5" t="str">
        <f>IF(B15="","",ディレクトリ名と処理概要!$C$4&amp;"/"&amp;Sheet1!B15)</f>
        <v/>
      </c>
      <c r="G15" s="5" t="str">
        <f t="shared" si="1"/>
        <v/>
      </c>
      <c r="H15" s="5"/>
      <c r="J15" s="5" t="str">
        <f>IF(OR(H15="-",H15=""),"-",ディレクトリ名と処理概要!$C$5&amp;"/"&amp;Sheet1!B15)</f>
        <v>-</v>
      </c>
      <c r="K15" s="6" t="str">
        <f>IF(OR(H15="-",H15=""),"-","diff """&amp;ディレクトリ名と処理概要!$C$4&amp;"/"&amp;H15&amp;""" """&amp;F15&amp;""" &gt; "&amp;""""&amp;J15&amp;"""")</f>
        <v>-</v>
      </c>
    </row>
  </sheetData>
  <autoFilter ref="A2:L15" xr:uid="{EBBB4585-C3EB-47F2-AF04-B3E03FA5E65A}">
    <filterColumn colId="10">
      <filters>
        <filter val="diff &quot;C:/Users/D/Desktop/diff/01_diff_改修前後比較/root_sample_1/dir/dir2/a/Env.txt&quot; &quot;C:/Users/D/Desktop/diff/01_diff_改修前後比較/root_sample_1/dir/dir2/b/Env.txt&quot; &gt; &quot;C:/Users/D/Desktop/diff/02_diff_環境差分比較/root_sample_1/dir/dir2/b/Env.txt&quot;"/>
        <filter val="diff &quot;C:/Users/D/Desktop/diff/01_diff_改修前後比較/root_sample_1/dir/dir2/a/Env.txt&quot; &quot;C:/Users/D/Desktop/diff/01_diff_改修前後比較/root_sample_1/dir/dir2/c/Env.txt&quot; &gt; &quot;C:/Users/D/Desktop/diff/02_diff_環境差分比較/root_sample_1/dir/dir2/c/Env.txt&quot;"/>
      </filters>
    </filterColumn>
  </autoFilter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CDD42-AC2C-49AB-9E2D-0C5443511446}">
  <sheetPr codeName="Sheet3"/>
  <dimension ref="A1:B38"/>
  <sheetViews>
    <sheetView workbookViewId="0">
      <selection activeCell="B2" sqref="B2"/>
    </sheetView>
  </sheetViews>
  <sheetFormatPr defaultRowHeight="18.75" x14ac:dyDescent="0.4"/>
  <cols>
    <col min="1" max="1" width="11" style="20" bestFit="1" customWidth="1"/>
    <col min="2" max="2" width="95.625" style="20" customWidth="1"/>
  </cols>
  <sheetData>
    <row r="1" spans="1:2" x14ac:dyDescent="0.4">
      <c r="A1" s="18" t="s">
        <v>27</v>
      </c>
      <c r="B1" s="18" t="s">
        <v>66</v>
      </c>
    </row>
    <row r="3" spans="1:2" x14ac:dyDescent="0.4">
      <c r="A3" s="19" t="s">
        <v>1</v>
      </c>
      <c r="B3" s="19" t="s">
        <v>28</v>
      </c>
    </row>
    <row r="4" spans="1:2" x14ac:dyDescent="0.4">
      <c r="A4" s="18">
        <f>IF(B4&lt;&gt;"",ROW()-3,"")</f>
        <v>1</v>
      </c>
      <c r="B4" s="18" t="s">
        <v>48</v>
      </c>
    </row>
    <row r="5" spans="1:2" x14ac:dyDescent="0.4">
      <c r="A5" s="18">
        <f t="shared" ref="A5:A38" si="0">IF(B5&lt;&gt;"",ROW()-3,"")</f>
        <v>2</v>
      </c>
      <c r="B5" s="18" t="s">
        <v>49</v>
      </c>
    </row>
    <row r="6" spans="1:2" x14ac:dyDescent="0.4">
      <c r="A6" s="18">
        <f t="shared" si="0"/>
        <v>3</v>
      </c>
      <c r="B6" s="18" t="s">
        <v>50</v>
      </c>
    </row>
    <row r="7" spans="1:2" x14ac:dyDescent="0.4">
      <c r="A7" s="18">
        <f t="shared" si="0"/>
        <v>4</v>
      </c>
      <c r="B7" s="18" t="s">
        <v>51</v>
      </c>
    </row>
    <row r="8" spans="1:2" x14ac:dyDescent="0.4">
      <c r="A8" s="18">
        <f t="shared" si="0"/>
        <v>5</v>
      </c>
      <c r="B8" s="18" t="s">
        <v>52</v>
      </c>
    </row>
    <row r="9" spans="1:2" x14ac:dyDescent="0.4">
      <c r="A9" s="18">
        <f t="shared" si="0"/>
        <v>6</v>
      </c>
      <c r="B9" s="18" t="s">
        <v>53</v>
      </c>
    </row>
    <row r="10" spans="1:2" x14ac:dyDescent="0.4">
      <c r="A10" s="18" t="str">
        <f t="shared" si="0"/>
        <v/>
      </c>
      <c r="B10" s="18"/>
    </row>
    <row r="11" spans="1:2" x14ac:dyDescent="0.4">
      <c r="A11" s="18" t="str">
        <f t="shared" si="0"/>
        <v/>
      </c>
      <c r="B11" s="18"/>
    </row>
    <row r="12" spans="1:2" x14ac:dyDescent="0.4">
      <c r="A12" s="18" t="str">
        <f t="shared" si="0"/>
        <v/>
      </c>
      <c r="B12" s="18"/>
    </row>
    <row r="13" spans="1:2" x14ac:dyDescent="0.4">
      <c r="A13" s="18" t="str">
        <f t="shared" si="0"/>
        <v/>
      </c>
      <c r="B13" s="18"/>
    </row>
    <row r="14" spans="1:2" x14ac:dyDescent="0.4">
      <c r="A14" s="18" t="str">
        <f t="shared" si="0"/>
        <v/>
      </c>
      <c r="B14" s="18"/>
    </row>
    <row r="15" spans="1:2" x14ac:dyDescent="0.4">
      <c r="A15" s="18" t="str">
        <f t="shared" si="0"/>
        <v/>
      </c>
      <c r="B15" s="18"/>
    </row>
    <row r="16" spans="1:2" x14ac:dyDescent="0.4">
      <c r="A16" s="18" t="str">
        <f t="shared" si="0"/>
        <v/>
      </c>
      <c r="B16" s="18"/>
    </row>
    <row r="17" spans="1:2" x14ac:dyDescent="0.4">
      <c r="A17" s="18" t="str">
        <f t="shared" si="0"/>
        <v/>
      </c>
      <c r="B17" s="18"/>
    </row>
    <row r="18" spans="1:2" x14ac:dyDescent="0.4">
      <c r="A18" s="18" t="str">
        <f t="shared" si="0"/>
        <v/>
      </c>
      <c r="B18" s="18"/>
    </row>
    <row r="19" spans="1:2" x14ac:dyDescent="0.4">
      <c r="A19" s="18" t="str">
        <f t="shared" si="0"/>
        <v/>
      </c>
      <c r="B19" s="18"/>
    </row>
    <row r="20" spans="1:2" x14ac:dyDescent="0.4">
      <c r="A20" s="18" t="str">
        <f t="shared" si="0"/>
        <v/>
      </c>
      <c r="B20" s="18"/>
    </row>
    <row r="21" spans="1:2" x14ac:dyDescent="0.4">
      <c r="A21" s="18" t="str">
        <f t="shared" si="0"/>
        <v/>
      </c>
      <c r="B21" s="18"/>
    </row>
    <row r="22" spans="1:2" x14ac:dyDescent="0.4">
      <c r="A22" s="18" t="str">
        <f t="shared" si="0"/>
        <v/>
      </c>
      <c r="B22" s="18"/>
    </row>
    <row r="23" spans="1:2" x14ac:dyDescent="0.4">
      <c r="A23" s="18" t="str">
        <f t="shared" si="0"/>
        <v/>
      </c>
      <c r="B23" s="18"/>
    </row>
    <row r="24" spans="1:2" x14ac:dyDescent="0.4">
      <c r="A24" s="18" t="str">
        <f t="shared" si="0"/>
        <v/>
      </c>
      <c r="B24" s="18"/>
    </row>
    <row r="25" spans="1:2" x14ac:dyDescent="0.4">
      <c r="A25" s="18" t="str">
        <f t="shared" si="0"/>
        <v/>
      </c>
      <c r="B25" s="18"/>
    </row>
    <row r="26" spans="1:2" x14ac:dyDescent="0.4">
      <c r="A26" s="18" t="str">
        <f t="shared" si="0"/>
        <v/>
      </c>
      <c r="B26" s="18"/>
    </row>
    <row r="27" spans="1:2" x14ac:dyDescent="0.4">
      <c r="A27" s="18" t="str">
        <f t="shared" si="0"/>
        <v/>
      </c>
      <c r="B27" s="18"/>
    </row>
    <row r="28" spans="1:2" x14ac:dyDescent="0.4">
      <c r="A28" s="18" t="str">
        <f t="shared" si="0"/>
        <v/>
      </c>
      <c r="B28" s="18"/>
    </row>
    <row r="29" spans="1:2" x14ac:dyDescent="0.4">
      <c r="A29" s="18" t="str">
        <f t="shared" si="0"/>
        <v/>
      </c>
      <c r="B29" s="18"/>
    </row>
    <row r="30" spans="1:2" x14ac:dyDescent="0.4">
      <c r="A30" s="18" t="str">
        <f t="shared" si="0"/>
        <v/>
      </c>
      <c r="B30" s="18"/>
    </row>
    <row r="31" spans="1:2" x14ac:dyDescent="0.4">
      <c r="A31" s="18" t="str">
        <f t="shared" si="0"/>
        <v/>
      </c>
      <c r="B31" s="18"/>
    </row>
    <row r="32" spans="1:2" x14ac:dyDescent="0.4">
      <c r="A32" s="18" t="str">
        <f t="shared" si="0"/>
        <v/>
      </c>
      <c r="B32" s="18"/>
    </row>
    <row r="33" spans="1:2" x14ac:dyDescent="0.4">
      <c r="A33" s="18" t="str">
        <f t="shared" si="0"/>
        <v/>
      </c>
      <c r="B33" s="18"/>
    </row>
    <row r="34" spans="1:2" x14ac:dyDescent="0.4">
      <c r="A34" s="18" t="str">
        <f t="shared" si="0"/>
        <v/>
      </c>
      <c r="B34" s="18"/>
    </row>
    <row r="35" spans="1:2" x14ac:dyDescent="0.4">
      <c r="A35" s="18" t="str">
        <f t="shared" si="0"/>
        <v/>
      </c>
      <c r="B35" s="18"/>
    </row>
    <row r="36" spans="1:2" x14ac:dyDescent="0.4">
      <c r="A36" s="18" t="str">
        <f t="shared" si="0"/>
        <v/>
      </c>
      <c r="B36" s="18"/>
    </row>
    <row r="37" spans="1:2" x14ac:dyDescent="0.4">
      <c r="A37" s="18" t="str">
        <f t="shared" si="0"/>
        <v/>
      </c>
      <c r="B37" s="18"/>
    </row>
    <row r="38" spans="1:2" x14ac:dyDescent="0.4">
      <c r="A38" s="18" t="str">
        <f t="shared" si="0"/>
        <v/>
      </c>
      <c r="B38" s="18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806A1-FDB7-4392-B189-1552A442D8C4}">
  <sheetPr codeName="Sheet4"/>
  <dimension ref="A1:D16"/>
  <sheetViews>
    <sheetView workbookViewId="0">
      <selection activeCell="C18" sqref="C18"/>
    </sheetView>
  </sheetViews>
  <sheetFormatPr defaultRowHeight="18.75" x14ac:dyDescent="0.4"/>
  <cols>
    <col min="1" max="1" width="56.625" bestFit="1" customWidth="1"/>
    <col min="2" max="2" width="33.375" customWidth="1"/>
    <col min="3" max="3" width="100" customWidth="1"/>
    <col min="4" max="4" width="14.375" customWidth="1"/>
  </cols>
  <sheetData>
    <row r="1" spans="1:4" x14ac:dyDescent="0.4">
      <c r="A1" s="16" t="s">
        <v>22</v>
      </c>
      <c r="B1" s="16" t="s">
        <v>23</v>
      </c>
      <c r="C1" s="16" t="s">
        <v>24</v>
      </c>
      <c r="D1" s="16" t="s">
        <v>25</v>
      </c>
    </row>
    <row r="2" spans="1:4" x14ac:dyDescent="0.4">
      <c r="A2" s="17" t="s">
        <v>18</v>
      </c>
      <c r="B2" s="17" t="s">
        <v>3</v>
      </c>
      <c r="C2" s="17" t="s">
        <v>62</v>
      </c>
      <c r="D2" s="17" t="s">
        <v>46</v>
      </c>
    </row>
    <row r="3" spans="1:4" x14ac:dyDescent="0.4">
      <c r="A3" s="17" t="s">
        <v>19</v>
      </c>
      <c r="B3" s="17" t="s">
        <v>2</v>
      </c>
      <c r="C3" s="17" t="s">
        <v>63</v>
      </c>
      <c r="D3" s="17" t="s">
        <v>46</v>
      </c>
    </row>
    <row r="4" spans="1:4" x14ac:dyDescent="0.4">
      <c r="A4" s="17" t="s">
        <v>20</v>
      </c>
      <c r="B4" s="17" t="s">
        <v>16</v>
      </c>
      <c r="C4" s="17" t="s">
        <v>64</v>
      </c>
      <c r="D4" s="17" t="s">
        <v>26</v>
      </c>
    </row>
    <row r="5" spans="1:4" x14ac:dyDescent="0.4">
      <c r="A5" s="17" t="s">
        <v>21</v>
      </c>
      <c r="B5" s="17" t="s">
        <v>17</v>
      </c>
      <c r="C5" s="17" t="s">
        <v>65</v>
      </c>
      <c r="D5" s="17" t="s">
        <v>26</v>
      </c>
    </row>
    <row r="6" spans="1:4" x14ac:dyDescent="0.4">
      <c r="A6" s="17"/>
      <c r="B6" s="17"/>
      <c r="C6" s="17"/>
      <c r="D6" s="17"/>
    </row>
    <row r="7" spans="1:4" x14ac:dyDescent="0.4">
      <c r="A7" s="17"/>
      <c r="B7" s="17"/>
      <c r="C7" s="17"/>
      <c r="D7" s="17"/>
    </row>
    <row r="8" spans="1:4" x14ac:dyDescent="0.4">
      <c r="A8" s="17"/>
      <c r="B8" s="17"/>
      <c r="C8" s="17"/>
      <c r="D8" s="17"/>
    </row>
    <row r="9" spans="1:4" x14ac:dyDescent="0.4">
      <c r="A9" s="17"/>
      <c r="B9" s="17"/>
      <c r="C9" s="17"/>
      <c r="D9" s="17"/>
    </row>
    <row r="10" spans="1:4" x14ac:dyDescent="0.4">
      <c r="A10" s="17"/>
      <c r="B10" s="17"/>
      <c r="C10" s="17"/>
      <c r="D10" s="17"/>
    </row>
    <row r="11" spans="1:4" x14ac:dyDescent="0.4">
      <c r="A11" s="17"/>
      <c r="B11" s="17"/>
      <c r="C11" s="17"/>
      <c r="D11" s="17"/>
    </row>
    <row r="12" spans="1:4" x14ac:dyDescent="0.4">
      <c r="A12" s="17"/>
      <c r="B12" s="17"/>
      <c r="C12" s="17"/>
      <c r="D12" s="17"/>
    </row>
    <row r="13" spans="1:4" x14ac:dyDescent="0.4">
      <c r="A13" s="17"/>
      <c r="B13" s="17"/>
      <c r="C13" s="17"/>
      <c r="D13" s="17"/>
    </row>
    <row r="14" spans="1:4" x14ac:dyDescent="0.4">
      <c r="A14" s="16" t="s">
        <v>22</v>
      </c>
      <c r="B14" s="16" t="s">
        <v>37</v>
      </c>
      <c r="C14" s="16" t="s">
        <v>36</v>
      </c>
      <c r="D14" s="16"/>
    </row>
    <row r="15" spans="1:4" x14ac:dyDescent="0.4">
      <c r="A15" s="17" t="s">
        <v>35</v>
      </c>
      <c r="B15" s="17" t="s">
        <v>38</v>
      </c>
      <c r="C15" s="17" t="str">
        <f>"robocopy "&amp;""""&amp;ディレクトリ名と処理概要!$C$2&amp;""" "&amp;""""&amp;$C$4&amp;""""&amp;" /e /xf *"</f>
        <v>robocopy "C:/Users/UserA/Desktop/diff/after" "C:/Users/UserA/Desktop/diff/01_diff_改修前後比較" /e /xf *</v>
      </c>
      <c r="D15" s="17" t="s">
        <v>46</v>
      </c>
    </row>
    <row r="16" spans="1:4" x14ac:dyDescent="0.4">
      <c r="A16" s="17" t="s">
        <v>45</v>
      </c>
      <c r="B16" s="17" t="s">
        <v>38</v>
      </c>
      <c r="C16" s="17" t="str">
        <f>"robocopy "&amp;""""&amp;ディレクトリ名と処理概要!$C$2&amp;""" "&amp;""""&amp;$C$5&amp;""""&amp;" /e /xf *"</f>
        <v>robocopy "C:/Users/UserA/Desktop/diff/after" "C:/Users/UserA/Desktop/diff/02_diff_環境差分比較" /e /xf *</v>
      </c>
      <c r="D16" s="17" t="s">
        <v>46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5ABF-079A-4049-BC75-E57A28BFB31E}">
  <sheetPr codeName="Sheet2"/>
  <dimension ref="A1:C5"/>
  <sheetViews>
    <sheetView workbookViewId="0">
      <selection activeCell="C5" sqref="C5"/>
    </sheetView>
  </sheetViews>
  <sheetFormatPr defaultRowHeight="18.75" x14ac:dyDescent="0.4"/>
  <cols>
    <col min="1" max="1" width="25.375" bestFit="1" customWidth="1"/>
    <col min="2" max="2" width="21.375" bestFit="1" customWidth="1"/>
    <col min="3" max="3" width="11" customWidth="1"/>
  </cols>
  <sheetData>
    <row r="1" spans="1:3" x14ac:dyDescent="0.4">
      <c r="A1" s="9" t="s">
        <v>9</v>
      </c>
      <c r="B1" s="10" t="s">
        <v>15</v>
      </c>
      <c r="C1" s="10" t="s">
        <v>5</v>
      </c>
    </row>
    <row r="2" spans="1:3" x14ac:dyDescent="0.4">
      <c r="A2" s="12" t="s">
        <v>10</v>
      </c>
      <c r="B2" s="13" t="s">
        <v>11</v>
      </c>
      <c r="C2" s="11" t="s">
        <v>12</v>
      </c>
    </row>
    <row r="3" spans="1:3" x14ac:dyDescent="0.4">
      <c r="A3" s="14" t="s">
        <v>14</v>
      </c>
      <c r="B3" s="15" t="s">
        <v>6</v>
      </c>
      <c r="C3" s="7" t="s">
        <v>8</v>
      </c>
    </row>
    <row r="4" spans="1:3" x14ac:dyDescent="0.4">
      <c r="A4" s="14" t="s">
        <v>13</v>
      </c>
      <c r="B4" s="15" t="s">
        <v>7</v>
      </c>
      <c r="C4" s="7" t="s">
        <v>47</v>
      </c>
    </row>
    <row r="5" spans="1:3" x14ac:dyDescent="0.4">
      <c r="A5" s="8"/>
      <c r="B5" s="8"/>
      <c r="C5" s="8"/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リポジトリ配下ファイルの取得</vt:lpstr>
      <vt:lpstr>ディレクトリ名と処理概要</vt:lpstr>
      <vt:lpstr>マクロ設定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屋敷 大介</dc:creator>
  <cp:lastModifiedBy>屋敷 大介</cp:lastModifiedBy>
  <dcterms:created xsi:type="dcterms:W3CDTF">2026-03-27T00:11:21Z</dcterms:created>
  <dcterms:modified xsi:type="dcterms:W3CDTF">2026-03-29T12:41:07Z</dcterms:modified>
</cp:coreProperties>
</file>